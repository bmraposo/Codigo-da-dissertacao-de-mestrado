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yr\Desktop\dados\"/>
    </mc:Choice>
  </mc:AlternateContent>
  <xr:revisionPtr revIDLastSave="0" documentId="13_ncr:1_{F2B10190-D0A0-4C15-A7AD-7AFE82029D2B}" xr6:coauthVersionLast="47" xr6:coauthVersionMax="47" xr10:uidLastSave="{00000000-0000-0000-0000-000000000000}"/>
  <bookViews>
    <workbookView xWindow="-98" yWindow="-98" windowWidth="21795" windowHeight="12975" xr2:uid="{F5A5D173-0DE8-46A6-AEE6-260E567D2E8A}"/>
  </bookViews>
  <sheets>
    <sheet name="Data_R" sheetId="2" r:id="rId1"/>
    <sheet name="daily-treasury-rates" sheetId="4" r:id="rId2"/>
  </sheets>
  <definedNames>
    <definedName name="DadosExternos_1" localSheetId="1" hidden="1">'daily-treasury-rates'!$A$1:$O$130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8" i="4" l="1"/>
  <c r="R14" i="4" s="1"/>
  <c r="U9" i="4"/>
  <c r="U10" i="4"/>
  <c r="U11" i="4"/>
  <c r="U12" i="4"/>
  <c r="U13" i="4"/>
  <c r="U14" i="4"/>
  <c r="C2" i="4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0706F0-6677-4C7D-BD5B-F619C1820F9B}" keepAlive="1" name="Consulta - daily-treasury-rates" description="Ligação à consulta 'daily-treasury-rates' no livro." type="5" refreshedVersion="8" background="1" saveData="1">
    <dbPr connection="Provider=Microsoft.Mashup.OleDb.1;Data Source=$Workbook$;Location=daily-treasury-rates;Extended Properties=&quot;&quot;" command="SELECT * FROM [daily-treasury-rates]"/>
  </connection>
</connections>
</file>

<file path=xl/sharedStrings.xml><?xml version="1.0" encoding="utf-8"?>
<sst xmlns="http://schemas.openxmlformats.org/spreadsheetml/2006/main" count="2236" uniqueCount="488">
  <si>
    <t>Strike</t>
  </si>
  <si>
    <t>Bid</t>
  </si>
  <si>
    <t>Ask</t>
  </si>
  <si>
    <t>Change</t>
  </si>
  <si>
    <t>Volume</t>
  </si>
  <si>
    <t>TSLA260807C00405000</t>
  </si>
  <si>
    <t>TSLA260807C00410000</t>
  </si>
  <si>
    <t>TSLA260807C00415000</t>
  </si>
  <si>
    <t>TSLA260807C00420000</t>
  </si>
  <si>
    <t>TSLA260807C00425000</t>
  </si>
  <si>
    <t>TSLA260807C00430000</t>
  </si>
  <si>
    <t>TSLA260807C00435000</t>
  </si>
  <si>
    <t>TSLA260807C00440000</t>
  </si>
  <si>
    <t>TSLA260807C00445000</t>
  </si>
  <si>
    <t>TSLA260807C00450000</t>
  </si>
  <si>
    <t>TSLA260807C00455000</t>
  </si>
  <si>
    <t>TSLA260807C00460000</t>
  </si>
  <si>
    <t>TSLA260807C00465000</t>
  </si>
  <si>
    <t>TSLA260807C00470000</t>
  </si>
  <si>
    <t>TSLA260807C00475000</t>
  </si>
  <si>
    <t>TSLA260807C00480000</t>
  </si>
  <si>
    <t>TSLA260807P00325000</t>
  </si>
  <si>
    <t>TSLA260807P00330000</t>
  </si>
  <si>
    <t>TSLA260807P00335000</t>
  </si>
  <si>
    <t>TSLA260807P00340000</t>
  </si>
  <si>
    <t>TSLA260807P00345000</t>
  </si>
  <si>
    <t>TSLA260807P00350000</t>
  </si>
  <si>
    <t>TSLA260807P00355000</t>
  </si>
  <si>
    <t>TSLA260807P00360000</t>
  </si>
  <si>
    <t>TSLA260807P00365000</t>
  </si>
  <si>
    <t>TSLA260807P00370000</t>
  </si>
  <si>
    <t>TSLA260807P00375000</t>
  </si>
  <si>
    <t>TSLA260807P00380000</t>
  </si>
  <si>
    <t>TSLA260807P00385000</t>
  </si>
  <si>
    <t>TSLA260807P00390000</t>
  </si>
  <si>
    <t>TSLA260807P00395000</t>
  </si>
  <si>
    <t>TSLA260807P00400000</t>
  </si>
  <si>
    <t>TSLA261016C00405000</t>
  </si>
  <si>
    <t>TSLA261016C00410000</t>
  </si>
  <si>
    <t>TSLA261016C00415000</t>
  </si>
  <si>
    <t>TSLA261016C00420000</t>
  </si>
  <si>
    <t>TSLA261016C00425000</t>
  </si>
  <si>
    <t>TSLA261016C00430000</t>
  </si>
  <si>
    <t>TSLA261016C00435000</t>
  </si>
  <si>
    <t>TSLA261016C00440000</t>
  </si>
  <si>
    <t>TSLA261016C00445000</t>
  </si>
  <si>
    <t>TSLA261016C00450000</t>
  </si>
  <si>
    <t>TSLA261016C00455000</t>
  </si>
  <si>
    <t>TSLA261016C00460000</t>
  </si>
  <si>
    <t>TSLA261016C00465000</t>
  </si>
  <si>
    <t>TSLA261016C00470000</t>
  </si>
  <si>
    <t>TSLA261016C00475000</t>
  </si>
  <si>
    <t>TSLA261016C00480000</t>
  </si>
  <si>
    <t>TSLA261016P00325000</t>
  </si>
  <si>
    <t>TSLA261016P00330000</t>
  </si>
  <si>
    <t>TSLA261016P00335000</t>
  </si>
  <si>
    <t>TSLA261016P00340000</t>
  </si>
  <si>
    <t>TSLA261016P00345000</t>
  </si>
  <si>
    <t>TSLA261016P00350000</t>
  </si>
  <si>
    <t>TSLA261016P00355000</t>
  </si>
  <si>
    <t>TSLA261016P00360000</t>
  </si>
  <si>
    <t>TSLA261016P00365000</t>
  </si>
  <si>
    <t>TSLA261016P00370000</t>
  </si>
  <si>
    <t>TSLA261016P00375000</t>
  </si>
  <si>
    <t>TSLA261016P00380000</t>
  </si>
  <si>
    <t>TSLA261016P00385000</t>
  </si>
  <si>
    <t>TSLA261016P00390000</t>
  </si>
  <si>
    <t>TSLA261016P00395000</t>
  </si>
  <si>
    <t>TSLA261016P00400000</t>
  </si>
  <si>
    <t>TSLA270115C00410000</t>
  </si>
  <si>
    <t>TSLA270115C00420000</t>
  </si>
  <si>
    <t>TSLA270115C00430000</t>
  </si>
  <si>
    <t>TSLA270115C00440000</t>
  </si>
  <si>
    <t>TSLA270115C00450000</t>
  </si>
  <si>
    <t>TSLA270115C00460000</t>
  </si>
  <si>
    <t>TSLA270115C00470000</t>
  </si>
  <si>
    <t>TSLA270115C00480000</t>
  </si>
  <si>
    <t>TSLA270115P00330000</t>
  </si>
  <si>
    <t>TSLA270115P00340000</t>
  </si>
  <si>
    <t>TSLA270115P00350000</t>
  </si>
  <si>
    <t>TSLA270115P00360000</t>
  </si>
  <si>
    <t>TSLA270115P00370000</t>
  </si>
  <si>
    <t>TSLA270115P00380000</t>
  </si>
  <si>
    <t>TSLA270115P00390000</t>
  </si>
  <si>
    <t>TSLA270115P00400000</t>
  </si>
  <si>
    <t>TSLA270319C00410000</t>
  </si>
  <si>
    <t>TSLA270319C00420000</t>
  </si>
  <si>
    <t>TSLA270319C00430000</t>
  </si>
  <si>
    <t>TSLA270319C00440000</t>
  </si>
  <si>
    <t>TSLA270319C00450000</t>
  </si>
  <si>
    <t>TSLA270319C00460000</t>
  </si>
  <si>
    <t>TSLA270319C00470000</t>
  </si>
  <si>
    <t>TSLA270319C00480000</t>
  </si>
  <si>
    <t>TSLA270319P00330000</t>
  </si>
  <si>
    <t>TSLA270319P00340000</t>
  </si>
  <si>
    <t>TSLA270319P00350000</t>
  </si>
  <si>
    <t>TSLA270319P00360000</t>
  </si>
  <si>
    <t>TSLA270319P00370000</t>
  </si>
  <si>
    <t>TSLA270319P00380000</t>
  </si>
  <si>
    <t>TSLA270319P00390000</t>
  </si>
  <si>
    <t>TSLA270319P00400000</t>
  </si>
  <si>
    <t>TSLA270617C00410000</t>
  </si>
  <si>
    <t>TSLA270617C00420000</t>
  </si>
  <si>
    <t>TSLA270617C00430000</t>
  </si>
  <si>
    <t>TSLA270617C00440000</t>
  </si>
  <si>
    <t>TSLA270617C00450000</t>
  </si>
  <si>
    <t>TSLA270617C00460000</t>
  </si>
  <si>
    <t>TSLA270617C00470000</t>
  </si>
  <si>
    <t>TSLA270617C00480000</t>
  </si>
  <si>
    <t>TSLA270617P00330000</t>
  </si>
  <si>
    <t>TSLA270617P00340000</t>
  </si>
  <si>
    <t>TSLA270617P00350000</t>
  </si>
  <si>
    <t>TSLA270617P00360000</t>
  </si>
  <si>
    <t>TSLA270617P00370000</t>
  </si>
  <si>
    <t>TSLA270617P00380000</t>
  </si>
  <si>
    <t>TSLA270617P00390000</t>
  </si>
  <si>
    <t>TSLA270617P00400000</t>
  </si>
  <si>
    <t>TSLA270917C00410000</t>
  </si>
  <si>
    <t>TSLA270917C00420000</t>
  </si>
  <si>
    <t>TSLA270917C00430000</t>
  </si>
  <si>
    <t>TSLA270917C00440000</t>
  </si>
  <si>
    <t>TSLA270917C00450000</t>
  </si>
  <si>
    <t>TSLA270917C00460000</t>
  </si>
  <si>
    <t>TSLA270917C00470000</t>
  </si>
  <si>
    <t>TSLA270917C00480000</t>
  </si>
  <si>
    <t>TSLA270917P00330000</t>
  </si>
  <si>
    <t>TSLA270917P00340000</t>
  </si>
  <si>
    <t>TSLA270917P00350000</t>
  </si>
  <si>
    <t>TSLA270917P00360000</t>
  </si>
  <si>
    <t>TSLA270917P00370000</t>
  </si>
  <si>
    <t>TSLA270917P00380000</t>
  </si>
  <si>
    <t>TSLA270917P00390000</t>
  </si>
  <si>
    <t>TSLA270917P00400000</t>
  </si>
  <si>
    <t>TSLA271217C00410000</t>
  </si>
  <si>
    <t>TSLA271217C00420000</t>
  </si>
  <si>
    <t>TSLA271217C00430000</t>
  </si>
  <si>
    <t>TSLA271217C00440000</t>
  </si>
  <si>
    <t>TSLA271217C00450000</t>
  </si>
  <si>
    <t>TSLA271217C00460000</t>
  </si>
  <si>
    <t>TSLA271217C00470000</t>
  </si>
  <si>
    <t>TSLA271217C00480000</t>
  </si>
  <si>
    <t>TSLA271217P00330000</t>
  </si>
  <si>
    <t>TSLA271217P00340000</t>
  </si>
  <si>
    <t>TSLA271217P00350000</t>
  </si>
  <si>
    <t>TSLA271217P00360000</t>
  </si>
  <si>
    <t>TSLA271217P00370000</t>
  </si>
  <si>
    <t>TSLA271217P00380000</t>
  </si>
  <si>
    <t>TSLA271217P00390000</t>
  </si>
  <si>
    <t>TSLA271217P00400000</t>
  </si>
  <si>
    <t>Call</t>
  </si>
  <si>
    <t>Put</t>
  </si>
  <si>
    <t>Contract_Name</t>
  </si>
  <si>
    <t>Option_Type</t>
  </si>
  <si>
    <t>Maturity_Date</t>
  </si>
  <si>
    <t>Last_Trade_Date</t>
  </si>
  <si>
    <t>Last_Price</t>
  </si>
  <si>
    <t>Market_Price</t>
  </si>
  <si>
    <t>%_Change</t>
  </si>
  <si>
    <t>Open_Interest</t>
  </si>
  <si>
    <t>Implied_Volatility</t>
  </si>
  <si>
    <t>1 Mo</t>
  </si>
  <si>
    <t>1.5 Month</t>
  </si>
  <si>
    <t>2 Mo</t>
  </si>
  <si>
    <t>3 Mo</t>
  </si>
  <si>
    <t>4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</si>
  <si>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</si>
  <si>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</si>
  <si>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</si>
  <si>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</si>
  <si>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</si>
  <si>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</si>
  <si>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</si>
  <si>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</si>
  <si>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</si>
  <si>
    <t>07/07/2026</t>
  </si>
  <si>
    <t>3.69</t>
  </si>
  <si>
    <t>3.74</t>
  </si>
  <si>
    <t>3.82</t>
  </si>
  <si>
    <t>3.86</t>
  </si>
  <si>
    <t>3.94</t>
  </si>
  <si>
    <t>3.99</t>
  </si>
  <si>
    <t>4.06</t>
  </si>
  <si>
    <t>4.19</t>
  </si>
  <si>
    <t>4.18</t>
  </si>
  <si>
    <t>4.27</t>
  </si>
  <si>
    <t>4.40</t>
  </si>
  <si>
    <t>4.55</t>
  </si>
  <si>
    <t>5.05</t>
  </si>
  <si>
    <t>07/06/2026</t>
  </si>
  <si>
    <t>3.75</t>
  </si>
  <si>
    <t>3.81</t>
  </si>
  <si>
    <t>3.87</t>
  </si>
  <si>
    <t>3.93</t>
  </si>
  <si>
    <t>3.98</t>
  </si>
  <si>
    <t>3.95</t>
  </si>
  <si>
    <t>4.13</t>
  </si>
  <si>
    <t>4.14</t>
  </si>
  <si>
    <t>4.21</t>
  </si>
  <si>
    <t>4.33</t>
  </si>
  <si>
    <t>4.48</t>
  </si>
  <si>
    <t>4.99</t>
  </si>
  <si>
    <t>07/02/2026</t>
  </si>
  <si>
    <t>3.70</t>
  </si>
  <si>
    <t>3.73</t>
  </si>
  <si>
    <t>3.91</t>
  </si>
  <si>
    <t>3.96</t>
  </si>
  <si>
    <t>4.16</t>
  </si>
  <si>
    <t>4.23</t>
  </si>
  <si>
    <t>4.35</t>
  </si>
  <si>
    <t>4.49</t>
  </si>
  <si>
    <t>4.98</t>
  </si>
  <si>
    <t>07/01/2026</t>
  </si>
  <si>
    <t>3.67</t>
  </si>
  <si>
    <t>3.71</t>
  </si>
  <si>
    <t>3.72</t>
  </si>
  <si>
    <t>3.85</t>
  </si>
  <si>
    <t>4.00</t>
  </si>
  <si>
    <t>4.17</t>
  </si>
  <si>
    <t>4.24</t>
  </si>
  <si>
    <t>4.97</t>
  </si>
  <si>
    <t>06/30/2026</t>
  </si>
  <si>
    <t>3.77</t>
  </si>
  <si>
    <t>3.92</t>
  </si>
  <si>
    <t>4.01</t>
  </si>
  <si>
    <t>4.15</t>
  </si>
  <si>
    <t>4.30</t>
  </si>
  <si>
    <t>4.44</t>
  </si>
  <si>
    <t>4.93</t>
  </si>
  <si>
    <t>4.91</t>
  </si>
  <si>
    <t>06/29/2026</t>
  </si>
  <si>
    <t>3.76</t>
  </si>
  <si>
    <t>3.97</t>
  </si>
  <si>
    <t>4.10</t>
  </si>
  <si>
    <t>4.38</t>
  </si>
  <si>
    <t>4.86</t>
  </si>
  <si>
    <t>06/26/2026</t>
  </si>
  <si>
    <t>3.83</t>
  </si>
  <si>
    <t>3.89</t>
  </si>
  <si>
    <t>4.07</t>
  </si>
  <si>
    <t>4.09</t>
  </si>
  <si>
    <t>4.12</t>
  </si>
  <si>
    <t>4.87</t>
  </si>
  <si>
    <t>06/25/2026</t>
  </si>
  <si>
    <t>3.84</t>
  </si>
  <si>
    <t>3.90</t>
  </si>
  <si>
    <t>4.26</t>
  </si>
  <si>
    <t>06/24/2026</t>
  </si>
  <si>
    <t>3.66</t>
  </si>
  <si>
    <t>4.11</t>
  </si>
  <si>
    <t>4.28</t>
  </si>
  <si>
    <t>4.41</t>
  </si>
  <si>
    <t>06/23/2026</t>
  </si>
  <si>
    <t>3.65</t>
  </si>
  <si>
    <t>4.22</t>
  </si>
  <si>
    <t>4.50</t>
  </si>
  <si>
    <t>4.96</t>
  </si>
  <si>
    <t>4.94</t>
  </si>
  <si>
    <t>06/22/2026</t>
  </si>
  <si>
    <t>4.04</t>
  </si>
  <si>
    <t>4.25</t>
  </si>
  <si>
    <t>4.29</t>
  </si>
  <si>
    <t>4.39</t>
  </si>
  <si>
    <t>4.51</t>
  </si>
  <si>
    <t>4.95</t>
  </si>
  <si>
    <t>06/18/2026</t>
  </si>
  <si>
    <t>4.34</t>
  </si>
  <si>
    <t>4.46</t>
  </si>
  <si>
    <t>4.90</t>
  </si>
  <si>
    <t>06/17/2026</t>
  </si>
  <si>
    <t>3.68</t>
  </si>
  <si>
    <t>4.20</t>
  </si>
  <si>
    <t>4.37</t>
  </si>
  <si>
    <t>06/16/2026</t>
  </si>
  <si>
    <t>3.79</t>
  </si>
  <si>
    <t>4.05</t>
  </si>
  <si>
    <t>4.08</t>
  </si>
  <si>
    <t>4.43</t>
  </si>
  <si>
    <t>4.92</t>
  </si>
  <si>
    <t>06/15/2026</t>
  </si>
  <si>
    <t>4.32</t>
  </si>
  <si>
    <t>4.47</t>
  </si>
  <si>
    <t>06/12/2026</t>
  </si>
  <si>
    <t>3.78</t>
  </si>
  <si>
    <t>06/11/2026</t>
  </si>
  <si>
    <t>4.31</t>
  </si>
  <si>
    <t>4.45</t>
  </si>
  <si>
    <t>06/10/2026</t>
  </si>
  <si>
    <t>3.80</t>
  </si>
  <si>
    <t>5.04</t>
  </si>
  <si>
    <t>5.03</t>
  </si>
  <si>
    <t>06/09/2026</t>
  </si>
  <si>
    <t>4.53</t>
  </si>
  <si>
    <t>5.02</t>
  </si>
  <si>
    <t>5.01</t>
  </si>
  <si>
    <t>06/08/2026</t>
  </si>
  <si>
    <t>4.42</t>
  </si>
  <si>
    <t>4.56</t>
  </si>
  <si>
    <t>06/05/2026</t>
  </si>
  <si>
    <t>3.88</t>
  </si>
  <si>
    <t>06/04/2026</t>
  </si>
  <si>
    <t>06/03/2026</t>
  </si>
  <si>
    <t>5.00</t>
  </si>
  <si>
    <t>06/02/2026</t>
  </si>
  <si>
    <t>06/01/2026</t>
  </si>
  <si>
    <t>05/29/2026</t>
  </si>
  <si>
    <t>05/28/2026</t>
  </si>
  <si>
    <t>05/27/2026</t>
  </si>
  <si>
    <t>05/26/2026</t>
  </si>
  <si>
    <t>05/22/2026</t>
  </si>
  <si>
    <t>5.06</t>
  </si>
  <si>
    <t>5.07</t>
  </si>
  <si>
    <t>05/21/2026</t>
  </si>
  <si>
    <t>4.57</t>
  </si>
  <si>
    <t>5.09</t>
  </si>
  <si>
    <t>5.10</t>
  </si>
  <si>
    <t>05/20/2026</t>
  </si>
  <si>
    <t>5.11</t>
  </si>
  <si>
    <t>05/19/2026</t>
  </si>
  <si>
    <t>4.67</t>
  </si>
  <si>
    <t>5.19</t>
  </si>
  <si>
    <t>5.18</t>
  </si>
  <si>
    <t>05/18/2026</t>
  </si>
  <si>
    <t>4.61</t>
  </si>
  <si>
    <t>5.14</t>
  </si>
  <si>
    <t>05/15/2026</t>
  </si>
  <si>
    <t>4.59</t>
  </si>
  <si>
    <t>5.12</t>
  </si>
  <si>
    <t>05/14/2026</t>
  </si>
  <si>
    <t>05/13/2026</t>
  </si>
  <si>
    <t>05/12/2026</t>
  </si>
  <si>
    <t>05/11/2026</t>
  </si>
  <si>
    <t>05/08/2026</t>
  </si>
  <si>
    <t>4.02</t>
  </si>
  <si>
    <t>05/07/2026</t>
  </si>
  <si>
    <t>05/06/2026</t>
  </si>
  <si>
    <t>4.36</t>
  </si>
  <si>
    <t>05/05/2026</t>
  </si>
  <si>
    <t>05/04/2026</t>
  </si>
  <si>
    <t>05/01/2026</t>
  </si>
  <si>
    <t>04/30/2026</t>
  </si>
  <si>
    <t>04/29/2026</t>
  </si>
  <si>
    <t>04/28/2026</t>
  </si>
  <si>
    <t>04/27/2026</t>
  </si>
  <si>
    <t>04/24/2026</t>
  </si>
  <si>
    <t>4.88</t>
  </si>
  <si>
    <t>04/23/2026</t>
  </si>
  <si>
    <t>04/22/2026</t>
  </si>
  <si>
    <t>04/21/2026</t>
  </si>
  <si>
    <t>4.89</t>
  </si>
  <si>
    <t>04/20/2026</t>
  </si>
  <si>
    <t>4.85</t>
  </si>
  <si>
    <t>04/17/2026</t>
  </si>
  <si>
    <t>3.64</t>
  </si>
  <si>
    <t>04/16/2026</t>
  </si>
  <si>
    <t>04/15/2026</t>
  </si>
  <si>
    <t>04/14/2026</t>
  </si>
  <si>
    <t>4.84</t>
  </si>
  <si>
    <t>04/13/2026</t>
  </si>
  <si>
    <t>04/10/2026</t>
  </si>
  <si>
    <t>04/09/2026</t>
  </si>
  <si>
    <t>04/08/2026</t>
  </si>
  <si>
    <t>04/07/2026</t>
  </si>
  <si>
    <t>04/06/2026</t>
  </si>
  <si>
    <t>04/03/2026</t>
  </si>
  <si>
    <t>04/02/2026</t>
  </si>
  <si>
    <t>04/01/2026</t>
  </si>
  <si>
    <t>03/31/2026</t>
  </si>
  <si>
    <t>03/30/2026</t>
  </si>
  <si>
    <t>03/27/2026</t>
  </si>
  <si>
    <t>03/26/2026</t>
  </si>
  <si>
    <t>03/25/2026</t>
  </si>
  <si>
    <t>03/24/2026</t>
  </si>
  <si>
    <t>4.03</t>
  </si>
  <si>
    <t>03/23/2026</t>
  </si>
  <si>
    <t>03/20/2026</t>
  </si>
  <si>
    <t>03/19/2026</t>
  </si>
  <si>
    <t>4.82</t>
  </si>
  <si>
    <t>4.83</t>
  </si>
  <si>
    <t>03/18/2026</t>
  </si>
  <si>
    <t>03/17/2026</t>
  </si>
  <si>
    <t>3.63</t>
  </si>
  <si>
    <t>4.81</t>
  </si>
  <si>
    <t>03/16/2026</t>
  </si>
  <si>
    <t>03/13/2026</t>
  </si>
  <si>
    <t>03/12/2026</t>
  </si>
  <si>
    <t>03/11/2026</t>
  </si>
  <si>
    <t>3.60</t>
  </si>
  <si>
    <t>03/10/2026</t>
  </si>
  <si>
    <t>3.56</t>
  </si>
  <si>
    <t>3.57</t>
  </si>
  <si>
    <t>3.58</t>
  </si>
  <si>
    <t>4.74</t>
  </si>
  <si>
    <t>4.78</t>
  </si>
  <si>
    <t>03/09/2026</t>
  </si>
  <si>
    <t>4.70</t>
  </si>
  <si>
    <t>4.72</t>
  </si>
  <si>
    <t>03/06/2026</t>
  </si>
  <si>
    <t>3.55</t>
  </si>
  <si>
    <t>3.59</t>
  </si>
  <si>
    <t>4.77</t>
  </si>
  <si>
    <t>03/05/2026</t>
  </si>
  <si>
    <t>4.71</t>
  </si>
  <si>
    <t>03/04/2026</t>
  </si>
  <si>
    <t>3.54</t>
  </si>
  <si>
    <t>03/03/2026</t>
  </si>
  <si>
    <t>3.51</t>
  </si>
  <si>
    <t>3.50</t>
  </si>
  <si>
    <t>4.65</t>
  </si>
  <si>
    <t>03/02/2026</t>
  </si>
  <si>
    <t>3.47</t>
  </si>
  <si>
    <t>3.49</t>
  </si>
  <si>
    <t>3.62</t>
  </si>
  <si>
    <t>4.64</t>
  </si>
  <si>
    <t>02/27/2026</t>
  </si>
  <si>
    <t>3.48</t>
  </si>
  <si>
    <t>3.38</t>
  </si>
  <si>
    <t>3.39</t>
  </si>
  <si>
    <t>02/26/2026</t>
  </si>
  <si>
    <t>3.61</t>
  </si>
  <si>
    <t>3.52</t>
  </si>
  <si>
    <t>3.42</t>
  </si>
  <si>
    <t>3.46</t>
  </si>
  <si>
    <t>4.60</t>
  </si>
  <si>
    <t>02/25/2026</t>
  </si>
  <si>
    <t>3.53</t>
  </si>
  <si>
    <t>3.45</t>
  </si>
  <si>
    <t>4.63</t>
  </si>
  <si>
    <t>02/24/2026</t>
  </si>
  <si>
    <t>3.43</t>
  </si>
  <si>
    <t>02/23/2026</t>
  </si>
  <si>
    <t>02/20/2026</t>
  </si>
  <si>
    <t>4.66</t>
  </si>
  <si>
    <t>02/19/2026</t>
  </si>
  <si>
    <t>02/18/2026</t>
  </si>
  <si>
    <t>02/17/2026</t>
  </si>
  <si>
    <t>4.68</t>
  </si>
  <si>
    <t>02/13/2026</t>
  </si>
  <si>
    <t>3.40</t>
  </si>
  <si>
    <t>4.69</t>
  </si>
  <si>
    <t>02/12/2026</t>
  </si>
  <si>
    <t>02/11/2026</t>
  </si>
  <si>
    <t>4.76</t>
  </si>
  <si>
    <t>02/10/2026</t>
  </si>
  <si>
    <t>4.73</t>
  </si>
  <si>
    <t>02/09/2026</t>
  </si>
  <si>
    <t>4.79</t>
  </si>
  <si>
    <t>02/06/2026</t>
  </si>
  <si>
    <t>4.80</t>
  </si>
  <si>
    <t>02/05/2026</t>
  </si>
  <si>
    <t>3.44</t>
  </si>
  <si>
    <t>02/04/2026</t>
  </si>
  <si>
    <t>02/03/2026</t>
  </si>
  <si>
    <t>02/02/2026</t>
  </si>
  <si>
    <t>01/30/2026</t>
  </si>
  <si>
    <t>01/29/2026</t>
  </si>
  <si>
    <t>01/28/2026</t>
  </si>
  <si>
    <t>01/27/2026</t>
  </si>
  <si>
    <t>01/26/2026</t>
  </si>
  <si>
    <t>4.75</t>
  </si>
  <si>
    <t>01/23/2026</t>
  </si>
  <si>
    <t>01/22/2026</t>
  </si>
  <si>
    <t>01/21/2026</t>
  </si>
  <si>
    <t>01/20/2026</t>
  </si>
  <si>
    <t>01/16/2026</t>
  </si>
  <si>
    <t>01/15/2026</t>
  </si>
  <si>
    <t>01/14/2026</t>
  </si>
  <si>
    <t>01/13/2026</t>
  </si>
  <si>
    <t>01/12/2026</t>
  </si>
  <si>
    <t>01/09/2026</t>
  </si>
  <si>
    <t>01/08/2026</t>
  </si>
  <si>
    <t>01/07/2026</t>
  </si>
  <si>
    <t>01/06/2026</t>
  </si>
  <si>
    <t>01/05/2026</t>
  </si>
  <si>
    <t>01/02/2026</t>
  </si>
  <si>
    <t>Date (Y)</t>
  </si>
  <si>
    <t>Maturidade T:</t>
  </si>
  <si>
    <t>Risk_Free_Rate_r</t>
  </si>
  <si>
    <t>Time_to_Maturity_T</t>
  </si>
  <si>
    <t>r_interpolado:</t>
  </si>
  <si>
    <t xml:space="preserve">Data de Calibração: </t>
  </si>
  <si>
    <t>Data de maturidade</t>
  </si>
  <si>
    <t>T(anos)</t>
  </si>
  <si>
    <t>T_inf:</t>
  </si>
  <si>
    <t>T_sup:</t>
  </si>
  <si>
    <t>r_inf:</t>
  </si>
  <si>
    <t>r_sup:</t>
  </si>
  <si>
    <t>r interpolado (%)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</si>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</sst>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Aptos Narrow"/>
      <family val="2"/>
      <scheme val="minor"/>
    </font>
    <font>
      <sz val="6"/>
      <name val="Arial"/>
      <family val="2"/>
    </font>
    <font>
      <sz val="6"/>
      <color theme="1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0" fontId="0" fillId="0" borderId="0" xfId="0" applyNumberFormat="1"/>
    <xf numFmtId="0" fontId="1" fillId="2" borderId="1" xfId="0" applyFont="1" applyFill="1" applyBorder="1"/>
    <xf numFmtId="22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10" fontId="1" fillId="2" borderId="1" xfId="0" applyNumberFormat="1" applyFont="1" applyFill="1" applyBorder="1" applyAlignment="1">
      <alignment horizontal="right" vertical="center"/>
    </xf>
    <xf numFmtId="10" fontId="1" fillId="2" borderId="1" xfId="0" quotePrefix="1" applyNumberFormat="1" applyFont="1" applyFill="1" applyBorder="1" applyAlignment="1">
      <alignment horizontal="right" vertical="center"/>
    </xf>
    <xf numFmtId="0" fontId="1" fillId="0" borderId="1" xfId="0" applyFont="1" applyBorder="1"/>
    <xf numFmtId="10" fontId="1" fillId="0" borderId="1" xfId="0" applyNumberFormat="1" applyFont="1" applyBorder="1" applyAlignment="1">
      <alignment horizontal="right"/>
    </xf>
    <xf numFmtId="0" fontId="2" fillId="0" borderId="1" xfId="0" applyFont="1" applyBorder="1"/>
    <xf numFmtId="2" fontId="1" fillId="2" borderId="1" xfId="0" applyNumberFormat="1" applyFont="1" applyFill="1" applyBorder="1" applyAlignment="1">
      <alignment horizontal="right" vertical="center"/>
    </xf>
    <xf numFmtId="2" fontId="1" fillId="2" borderId="1" xfId="0" applyNumberFormat="1" applyFont="1" applyFill="1" applyBorder="1"/>
    <xf numFmtId="2" fontId="1" fillId="0" borderId="1" xfId="0" applyNumberFormat="1" applyFont="1" applyBorder="1"/>
    <xf numFmtId="2" fontId="2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0" fillId="0" borderId="0" xfId="0" applyNumberFormat="1"/>
    <xf numFmtId="0" fontId="0" fillId="0" borderId="0" xfId="0" applyAlignment="1">
      <alignment horizontal="right"/>
    </xf>
    <xf numFmtId="10" fontId="1" fillId="2" borderId="1" xfId="0" applyNumberFormat="1" applyFont="1" applyFill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/>
    <xf numFmtId="10" fontId="0" fillId="0" borderId="0" xfId="0" applyNumberFormat="1" applyAlignment="1">
      <alignment horizontal="left"/>
    </xf>
    <xf numFmtId="14" fontId="4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9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FB1001F-0B62-402A-AB98-6A0B49FA5A3F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A62C7-30EB-4CAF-80B5-7E3EB2281DCC}" name="daily_treasury_rates" displayName="daily_treasury_rates" ref="A1:O130" tableType="queryTable" totalsRowShown="0">
  <autoFilter ref="A1:O130" xr:uid="{A81A62C7-30EB-4CAF-80B5-7E3EB2281DCC}"/>
  <tableColumns count="15">
    <tableColumn id="1" xr3:uid="{726BFCCA-6407-429F-ACA6-3798AC9BD0F0}" uniqueName="1" name="Date " queryTableFieldId="1" dataDxfId="18"/>
    <tableColumn id="2" xr3:uid="{E5CA4C19-CB78-4BCB-B7B7-5A9A38DF279F}" uniqueName="2" name="1 Mo" queryTableFieldId="2" dataDxfId="17"/>
    <tableColumn id="3" xr3:uid="{A8BE9F55-C02C-434F-A61B-F7D64549F62C}" uniqueName="3" name="1.5 Month" queryTableFieldId="3" dataDxfId="16"/>
    <tableColumn id="4" xr3:uid="{D65D0283-DC3C-4F10-AD42-A4041E775B44}" uniqueName="4" name="2 Mo" queryTableFieldId="4" dataDxfId="15"/>
    <tableColumn id="5" xr3:uid="{1E563DCD-4261-49B0-9FED-FB983E1310FC}" uniqueName="5" name="3 Mo" queryTableFieldId="5" dataDxfId="14"/>
    <tableColumn id="6" xr3:uid="{B4E1E8C9-D2A9-4B9A-82A0-710E202CA978}" uniqueName="6" name="4 Mo" queryTableFieldId="6" dataDxfId="13"/>
    <tableColumn id="7" xr3:uid="{CE68E6AD-DAF6-4B05-B567-7AFB9B546FC5}" uniqueName="7" name="6 Mo" queryTableFieldId="7" dataDxfId="12"/>
    <tableColumn id="8" xr3:uid="{227B1E60-7EBB-43C8-968A-01521888C1E2}" uniqueName="8" name="1 Yr" queryTableFieldId="8" dataDxfId="11"/>
    <tableColumn id="9" xr3:uid="{DDF7E801-EF46-43E2-A117-94AAA5E274C6}" uniqueName="9" name="2 Yr" queryTableFieldId="9" dataDxfId="10"/>
    <tableColumn id="10" xr3:uid="{125F89F9-BD9C-406B-94E6-DD084A0FC3D8}" uniqueName="10" name="3 Yr" queryTableFieldId="10" dataDxfId="9"/>
    <tableColumn id="11" xr3:uid="{0F4AFA91-44A3-4B2E-B497-DB221688C6AF}" uniqueName="11" name="5 Yr" queryTableFieldId="11" dataDxfId="8"/>
    <tableColumn id="12" xr3:uid="{69C989A3-4545-4293-907A-C84B6674BA2E}" uniqueName="12" name="7 Yr" queryTableFieldId="12" dataDxfId="7"/>
    <tableColumn id="13" xr3:uid="{3B890342-04D8-46DB-B9DD-C8BE68443907}" uniqueName="13" name="10 Yr" queryTableFieldId="13" dataDxfId="6"/>
    <tableColumn id="14" xr3:uid="{E98E8B73-8465-45E7-A3B1-A67D630D5489}" uniqueName="14" name="20 Yr" queryTableFieldId="14" dataDxfId="5"/>
    <tableColumn id="15" xr3:uid="{C2EE96F2-F813-4AD3-B863-21272C779E07}" uniqueName="15" name="30 Yr" queryTableFieldId="15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5BD592-1FBD-4037-872B-8183B4F3C6D3}" name="Tabela1" displayName="Tabela1" ref="T8:V14" totalsRowShown="0" headerRowDxfId="3">
  <autoFilter ref="T8:V14" xr:uid="{615BD592-1FBD-4037-872B-8183B4F3C6D3}"/>
  <tableColumns count="3">
    <tableColumn id="1" xr3:uid="{8A6A0CCD-54B4-4845-8D91-006D90B31112}" name="Data de maturidade" dataDxfId="2"/>
    <tableColumn id="3" xr3:uid="{A55088E5-1FD3-4CEE-9FC0-0FD5C42A8778}" name="T(anos)" dataDxfId="1">
      <calculatedColumnFormula>(T9-$S$5)/365</calculatedColumnFormula>
    </tableColumn>
    <tableColumn id="4" xr3:uid="{A79B2A22-AADA-4A15-B083-5E1CE77B34D8}" name="r interpolado (%)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797C-7E47-4BF1-B188-A0B19237C011}">
  <dimension ref="A1:P150"/>
  <sheetViews>
    <sheetView tabSelected="1" zoomScale="141" zoomScaleNormal="100" workbookViewId="0"/>
  </sheetViews>
  <sheetFormatPr defaultRowHeight="14.25" x14ac:dyDescent="0.45"/>
  <cols>
    <col min="1" max="1" width="13.73046875" customWidth="1"/>
    <col min="4" max="4" width="10.1328125" style="1" customWidth="1"/>
    <col min="5" max="5" width="11" customWidth="1"/>
    <col min="6" max="6" width="12.33203125" customWidth="1"/>
  </cols>
  <sheetData>
    <row r="1" spans="1:16" x14ac:dyDescent="0.45">
      <c r="A1" s="14" t="s">
        <v>151</v>
      </c>
      <c r="B1" s="14" t="s">
        <v>152</v>
      </c>
      <c r="C1" s="17" t="s">
        <v>153</v>
      </c>
      <c r="D1" s="16" t="s">
        <v>476</v>
      </c>
      <c r="E1" s="23" t="s">
        <v>477</v>
      </c>
      <c r="F1" s="14" t="s">
        <v>154</v>
      </c>
      <c r="G1" s="15" t="s">
        <v>0</v>
      </c>
      <c r="H1" s="15" t="s">
        <v>155</v>
      </c>
      <c r="I1" s="15" t="s">
        <v>1</v>
      </c>
      <c r="J1" s="15" t="s">
        <v>2</v>
      </c>
      <c r="K1" s="15" t="s">
        <v>156</v>
      </c>
      <c r="L1" s="15" t="s">
        <v>3</v>
      </c>
      <c r="M1" s="16" t="s">
        <v>157</v>
      </c>
      <c r="N1" s="15" t="s">
        <v>4</v>
      </c>
      <c r="O1" s="14" t="s">
        <v>158</v>
      </c>
      <c r="P1" s="16" t="s">
        <v>159</v>
      </c>
    </row>
    <row r="2" spans="1:16" x14ac:dyDescent="0.45">
      <c r="A2" s="2" t="s">
        <v>5</v>
      </c>
      <c r="B2" s="18" t="s">
        <v>149</v>
      </c>
      <c r="C2" s="21">
        <v>46241</v>
      </c>
      <c r="D2" s="27">
        <v>3.6900000000000002E-2</v>
      </c>
      <c r="E2" s="24">
        <f>(C2-DATE(2026,7,7))/365</f>
        <v>8.4931506849315067E-2</v>
      </c>
      <c r="F2" s="3">
        <v>46210.665972222225</v>
      </c>
      <c r="G2" s="11">
        <v>405</v>
      </c>
      <c r="H2" s="10">
        <v>22.6</v>
      </c>
      <c r="I2" s="10">
        <v>22.35</v>
      </c>
      <c r="J2" s="10">
        <v>22.7</v>
      </c>
      <c r="K2" s="10">
        <f>(I2+J2)/2</f>
        <v>22.524999999999999</v>
      </c>
      <c r="L2" s="10">
        <v>-9.74</v>
      </c>
      <c r="M2" s="5">
        <v>-0.30120000000000002</v>
      </c>
      <c r="N2" s="10">
        <v>315</v>
      </c>
      <c r="O2" s="4">
        <v>2049</v>
      </c>
      <c r="P2" s="5">
        <v>0.49780000000000002</v>
      </c>
    </row>
    <row r="3" spans="1:16" x14ac:dyDescent="0.45">
      <c r="A3" s="2" t="s">
        <v>6</v>
      </c>
      <c r="B3" s="18" t="s">
        <v>149</v>
      </c>
      <c r="C3" s="21">
        <v>46241</v>
      </c>
      <c r="D3" s="27">
        <v>3.6900000000000002E-2</v>
      </c>
      <c r="E3" s="24">
        <f>(C3-DATE(2026,7,7))/365</f>
        <v>8.4931506849315067E-2</v>
      </c>
      <c r="F3" s="3">
        <v>46210.659722222219</v>
      </c>
      <c r="G3" s="11">
        <v>410</v>
      </c>
      <c r="H3" s="10">
        <v>21.15</v>
      </c>
      <c r="I3" s="10">
        <v>20.149999999999999</v>
      </c>
      <c r="J3" s="10">
        <v>20.399999999999999</v>
      </c>
      <c r="K3" s="10">
        <f>(I3+J3)/2</f>
        <v>20.274999999999999</v>
      </c>
      <c r="L3" s="10">
        <v>-8.35</v>
      </c>
      <c r="M3" s="6">
        <v>-0.28310000000000002</v>
      </c>
      <c r="N3" s="10">
        <v>762</v>
      </c>
      <c r="O3" s="4">
        <v>420</v>
      </c>
      <c r="P3" s="5">
        <v>0.49580000000000002</v>
      </c>
    </row>
    <row r="4" spans="1:16" x14ac:dyDescent="0.45">
      <c r="A4" s="2" t="s">
        <v>7</v>
      </c>
      <c r="B4" s="18" t="s">
        <v>149</v>
      </c>
      <c r="C4" s="21">
        <v>46241</v>
      </c>
      <c r="D4" s="27">
        <v>3.6900000000000002E-2</v>
      </c>
      <c r="E4" s="24">
        <f>(C4-DATE(2026,7,7))/365</f>
        <v>8.4931506849315067E-2</v>
      </c>
      <c r="F4" s="3">
        <v>46210.665972222225</v>
      </c>
      <c r="G4" s="11">
        <v>415</v>
      </c>
      <c r="H4" s="10">
        <v>18</v>
      </c>
      <c r="I4" s="10">
        <v>18.05</v>
      </c>
      <c r="J4" s="10">
        <v>18.3</v>
      </c>
      <c r="K4" s="10">
        <f t="shared" ref="K4:K67" si="0">(I4+J4)/2</f>
        <v>18.175000000000001</v>
      </c>
      <c r="L4" s="10">
        <v>-8.82</v>
      </c>
      <c r="M4" s="5">
        <v>-0.32890000000000003</v>
      </c>
      <c r="N4" s="10">
        <v>346</v>
      </c>
      <c r="O4" s="4">
        <v>270</v>
      </c>
      <c r="P4" s="5">
        <v>0.4945</v>
      </c>
    </row>
    <row r="5" spans="1:16" x14ac:dyDescent="0.45">
      <c r="A5" s="2" t="s">
        <v>8</v>
      </c>
      <c r="B5" s="18" t="s">
        <v>149</v>
      </c>
      <c r="C5" s="21">
        <v>46241</v>
      </c>
      <c r="D5" s="27">
        <v>3.6900000000000002E-2</v>
      </c>
      <c r="E5" s="24">
        <f>(C5-DATE(2026,7,7))/365</f>
        <v>8.4931506849315067E-2</v>
      </c>
      <c r="F5" s="3">
        <v>46210.662499999999</v>
      </c>
      <c r="G5" s="11">
        <v>420</v>
      </c>
      <c r="H5" s="10">
        <v>16.25</v>
      </c>
      <c r="I5" s="10">
        <v>16.149999999999999</v>
      </c>
      <c r="J5" s="10">
        <v>16.350000000000001</v>
      </c>
      <c r="K5" s="10">
        <f t="shared" si="0"/>
        <v>16.25</v>
      </c>
      <c r="L5" s="10">
        <v>-8</v>
      </c>
      <c r="M5" s="5">
        <v>-0.32990000000000003</v>
      </c>
      <c r="N5" s="10">
        <v>465</v>
      </c>
      <c r="O5" s="4">
        <v>3309</v>
      </c>
      <c r="P5" s="5">
        <v>0.4929</v>
      </c>
    </row>
    <row r="6" spans="1:16" x14ac:dyDescent="0.45">
      <c r="A6" s="2" t="s">
        <v>9</v>
      </c>
      <c r="B6" s="18" t="s">
        <v>149</v>
      </c>
      <c r="C6" s="21">
        <v>46241</v>
      </c>
      <c r="D6" s="27">
        <v>3.6900000000000002E-2</v>
      </c>
      <c r="E6" s="24">
        <f t="shared" ref="E6:E69" si="1">(C6-DATE(2026,7,7))/365</f>
        <v>8.4931506849315067E-2</v>
      </c>
      <c r="F6" s="3">
        <v>46210.665277777778</v>
      </c>
      <c r="G6" s="11">
        <v>425</v>
      </c>
      <c r="H6" s="10">
        <v>14.43</v>
      </c>
      <c r="I6" s="10">
        <v>14.4</v>
      </c>
      <c r="J6" s="10">
        <v>14.6</v>
      </c>
      <c r="K6" s="10">
        <f t="shared" si="0"/>
        <v>14.5</v>
      </c>
      <c r="L6" s="10">
        <v>-7.36</v>
      </c>
      <c r="M6" s="5">
        <v>-0.33779999999999999</v>
      </c>
      <c r="N6" s="10">
        <v>135</v>
      </c>
      <c r="O6" s="4">
        <v>447</v>
      </c>
      <c r="P6" s="5">
        <v>0.4924</v>
      </c>
    </row>
    <row r="7" spans="1:16" x14ac:dyDescent="0.45">
      <c r="A7" s="2" t="s">
        <v>10</v>
      </c>
      <c r="B7" s="18" t="s">
        <v>149</v>
      </c>
      <c r="C7" s="21">
        <v>46241</v>
      </c>
      <c r="D7" s="27">
        <v>3.6900000000000002E-2</v>
      </c>
      <c r="E7" s="24">
        <f t="shared" si="1"/>
        <v>8.4931506849315067E-2</v>
      </c>
      <c r="F7" s="3">
        <v>46210.665972222225</v>
      </c>
      <c r="G7" s="11">
        <v>430</v>
      </c>
      <c r="H7" s="10">
        <v>12.86</v>
      </c>
      <c r="I7" s="10">
        <v>12.85</v>
      </c>
      <c r="J7" s="10">
        <v>13.05</v>
      </c>
      <c r="K7" s="10">
        <f t="shared" si="0"/>
        <v>12.95</v>
      </c>
      <c r="L7" s="10">
        <v>-6.74</v>
      </c>
      <c r="M7" s="5">
        <v>-0.34389999999999998</v>
      </c>
      <c r="N7" s="10">
        <v>221</v>
      </c>
      <c r="O7" s="4">
        <v>745</v>
      </c>
      <c r="P7" s="5">
        <v>0.49309999999999998</v>
      </c>
    </row>
    <row r="8" spans="1:16" x14ac:dyDescent="0.45">
      <c r="A8" s="2" t="s">
        <v>11</v>
      </c>
      <c r="B8" s="18" t="s">
        <v>149</v>
      </c>
      <c r="C8" s="21">
        <v>46241</v>
      </c>
      <c r="D8" s="27">
        <v>3.6900000000000002E-2</v>
      </c>
      <c r="E8" s="24">
        <f t="shared" si="1"/>
        <v>8.4931506849315067E-2</v>
      </c>
      <c r="F8" s="3">
        <v>46210.663888888892</v>
      </c>
      <c r="G8" s="11">
        <v>435</v>
      </c>
      <c r="H8" s="10">
        <v>11.55</v>
      </c>
      <c r="I8" s="10">
        <v>11.4</v>
      </c>
      <c r="J8" s="10">
        <v>11.6</v>
      </c>
      <c r="K8" s="10">
        <f t="shared" si="0"/>
        <v>11.5</v>
      </c>
      <c r="L8" s="10">
        <v>-6.3</v>
      </c>
      <c r="M8" s="5">
        <v>-0.35289999999999999</v>
      </c>
      <c r="N8" s="10">
        <v>482</v>
      </c>
      <c r="O8" s="4">
        <v>798</v>
      </c>
      <c r="P8" s="5">
        <v>0.4929</v>
      </c>
    </row>
    <row r="9" spans="1:16" x14ac:dyDescent="0.45">
      <c r="A9" s="2" t="s">
        <v>12</v>
      </c>
      <c r="B9" s="18" t="s">
        <v>149</v>
      </c>
      <c r="C9" s="21">
        <v>46241</v>
      </c>
      <c r="D9" s="27">
        <v>3.6900000000000002E-2</v>
      </c>
      <c r="E9" s="24">
        <f t="shared" si="1"/>
        <v>8.4931506849315067E-2</v>
      </c>
      <c r="F9" s="3">
        <v>46210.660416666666</v>
      </c>
      <c r="G9" s="11">
        <v>440</v>
      </c>
      <c r="H9" s="10">
        <v>10.65</v>
      </c>
      <c r="I9" s="10">
        <v>10.1</v>
      </c>
      <c r="J9" s="10">
        <v>10.3</v>
      </c>
      <c r="K9" s="10">
        <f t="shared" si="0"/>
        <v>10.199999999999999</v>
      </c>
      <c r="L9" s="10">
        <v>-5.27</v>
      </c>
      <c r="M9" s="5">
        <v>-0.33100000000000002</v>
      </c>
      <c r="N9" s="10">
        <v>142</v>
      </c>
      <c r="O9" s="4">
        <v>1348</v>
      </c>
      <c r="P9" s="5">
        <v>0.49309999999999998</v>
      </c>
    </row>
    <row r="10" spans="1:16" x14ac:dyDescent="0.45">
      <c r="A10" s="2" t="s">
        <v>13</v>
      </c>
      <c r="B10" s="18" t="s">
        <v>149</v>
      </c>
      <c r="C10" s="21">
        <v>46241</v>
      </c>
      <c r="D10" s="27">
        <v>3.6900000000000002E-2</v>
      </c>
      <c r="E10" s="24">
        <f t="shared" si="1"/>
        <v>8.4931506849315067E-2</v>
      </c>
      <c r="F10" s="3">
        <v>46210.665277777778</v>
      </c>
      <c r="G10" s="11">
        <v>445</v>
      </c>
      <c r="H10" s="10">
        <v>9</v>
      </c>
      <c r="I10" s="10">
        <v>8.9499999999999993</v>
      </c>
      <c r="J10" s="10">
        <v>9.15</v>
      </c>
      <c r="K10" s="10">
        <f t="shared" si="0"/>
        <v>9.0500000000000007</v>
      </c>
      <c r="L10" s="10">
        <v>-4.32</v>
      </c>
      <c r="M10" s="5">
        <v>-0.32429999999999998</v>
      </c>
      <c r="N10" s="10">
        <v>236</v>
      </c>
      <c r="O10" s="4">
        <v>172</v>
      </c>
      <c r="P10" s="5">
        <v>0.49399999999999999</v>
      </c>
    </row>
    <row r="11" spans="1:16" x14ac:dyDescent="0.45">
      <c r="A11" s="2" t="s">
        <v>14</v>
      </c>
      <c r="B11" s="18" t="s">
        <v>149</v>
      </c>
      <c r="C11" s="21">
        <v>46241</v>
      </c>
      <c r="D11" s="27">
        <v>3.6900000000000002E-2</v>
      </c>
      <c r="E11" s="24">
        <f t="shared" si="1"/>
        <v>8.4931506849315067E-2</v>
      </c>
      <c r="F11" s="3">
        <v>46210.665972222225</v>
      </c>
      <c r="G11" s="11">
        <v>450</v>
      </c>
      <c r="H11" s="10">
        <v>7.98</v>
      </c>
      <c r="I11" s="10">
        <v>7.95</v>
      </c>
      <c r="J11" s="10">
        <v>8.1</v>
      </c>
      <c r="K11" s="10">
        <f t="shared" si="0"/>
        <v>8.0250000000000004</v>
      </c>
      <c r="L11" s="10">
        <v>-4.82</v>
      </c>
      <c r="M11" s="5">
        <v>-0.37659999999999999</v>
      </c>
      <c r="N11" s="10">
        <v>504</v>
      </c>
      <c r="O11" s="4">
        <v>1271</v>
      </c>
      <c r="P11" s="5">
        <v>0.49459999999999998</v>
      </c>
    </row>
    <row r="12" spans="1:16" x14ac:dyDescent="0.45">
      <c r="A12" s="2" t="s">
        <v>15</v>
      </c>
      <c r="B12" s="18" t="s">
        <v>149</v>
      </c>
      <c r="C12" s="21">
        <v>46241</v>
      </c>
      <c r="D12" s="27">
        <v>3.6900000000000002E-2</v>
      </c>
      <c r="E12" s="24">
        <f t="shared" si="1"/>
        <v>8.4931506849315067E-2</v>
      </c>
      <c r="F12" s="3">
        <v>46210.660416666666</v>
      </c>
      <c r="G12" s="11">
        <v>455</v>
      </c>
      <c r="H12" s="10">
        <v>7.5</v>
      </c>
      <c r="I12" s="10">
        <v>7</v>
      </c>
      <c r="J12" s="10">
        <v>7.2</v>
      </c>
      <c r="K12" s="10">
        <f t="shared" si="0"/>
        <v>7.1</v>
      </c>
      <c r="L12" s="10">
        <v>-3.8</v>
      </c>
      <c r="M12" s="5">
        <v>-0.33629999999999999</v>
      </c>
      <c r="N12" s="10">
        <v>92</v>
      </c>
      <c r="O12" s="4">
        <v>290</v>
      </c>
      <c r="P12" s="5">
        <v>0.4965</v>
      </c>
    </row>
    <row r="13" spans="1:16" x14ac:dyDescent="0.45">
      <c r="A13" s="2" t="s">
        <v>16</v>
      </c>
      <c r="B13" s="18" t="s">
        <v>149</v>
      </c>
      <c r="C13" s="21">
        <v>46241</v>
      </c>
      <c r="D13" s="27">
        <v>3.6900000000000002E-2</v>
      </c>
      <c r="E13" s="24">
        <f t="shared" si="1"/>
        <v>8.4931506849315067E-2</v>
      </c>
      <c r="F13" s="3">
        <v>46210.652083333334</v>
      </c>
      <c r="G13" s="11">
        <v>460</v>
      </c>
      <c r="H13" s="10">
        <v>6.5</v>
      </c>
      <c r="I13" s="10">
        <v>6.2</v>
      </c>
      <c r="J13" s="10">
        <v>6.35</v>
      </c>
      <c r="K13" s="10">
        <f t="shared" si="0"/>
        <v>6.2750000000000004</v>
      </c>
      <c r="L13" s="10">
        <v>-3.69</v>
      </c>
      <c r="M13" s="5">
        <v>-0.36209999999999998</v>
      </c>
      <c r="N13" s="10">
        <v>91</v>
      </c>
      <c r="O13" s="4">
        <v>385</v>
      </c>
      <c r="P13" s="5">
        <v>0.49709999999999999</v>
      </c>
    </row>
    <row r="14" spans="1:16" x14ac:dyDescent="0.45">
      <c r="A14" s="2" t="s">
        <v>17</v>
      </c>
      <c r="B14" s="18" t="s">
        <v>149</v>
      </c>
      <c r="C14" s="21">
        <v>46241</v>
      </c>
      <c r="D14" s="27">
        <v>3.6900000000000002E-2</v>
      </c>
      <c r="E14" s="24">
        <f t="shared" si="1"/>
        <v>8.4931506849315067E-2</v>
      </c>
      <c r="F14" s="3">
        <v>46210.621527777781</v>
      </c>
      <c r="G14" s="11">
        <v>465</v>
      </c>
      <c r="H14" s="10">
        <v>5.6</v>
      </c>
      <c r="I14" s="10">
        <v>5.5</v>
      </c>
      <c r="J14" s="10">
        <v>5.65</v>
      </c>
      <c r="K14" s="10">
        <f t="shared" si="0"/>
        <v>5.5750000000000002</v>
      </c>
      <c r="L14" s="10">
        <v>-3.51</v>
      </c>
      <c r="M14" s="5">
        <v>-0.38529999999999998</v>
      </c>
      <c r="N14" s="10">
        <v>38</v>
      </c>
      <c r="O14" s="4">
        <v>271</v>
      </c>
      <c r="P14" s="5">
        <v>0.49969999999999998</v>
      </c>
    </row>
    <row r="15" spans="1:16" x14ac:dyDescent="0.45">
      <c r="A15" s="2" t="s">
        <v>18</v>
      </c>
      <c r="B15" s="18" t="s">
        <v>149</v>
      </c>
      <c r="C15" s="21">
        <v>46241</v>
      </c>
      <c r="D15" s="27">
        <v>3.6900000000000002E-2</v>
      </c>
      <c r="E15" s="24">
        <f t="shared" si="1"/>
        <v>8.4931506849315067E-2</v>
      </c>
      <c r="F15" s="3">
        <v>46210.665972222225</v>
      </c>
      <c r="G15" s="11">
        <v>470</v>
      </c>
      <c r="H15" s="10">
        <v>4.95</v>
      </c>
      <c r="I15" s="10">
        <v>4.8499999999999996</v>
      </c>
      <c r="J15" s="10">
        <v>5</v>
      </c>
      <c r="K15" s="10">
        <f t="shared" si="0"/>
        <v>4.9249999999999998</v>
      </c>
      <c r="L15" s="10">
        <v>-3.15</v>
      </c>
      <c r="M15" s="5">
        <v>-0.38890000000000002</v>
      </c>
      <c r="N15" s="10">
        <v>254</v>
      </c>
      <c r="O15" s="4">
        <v>1934</v>
      </c>
      <c r="P15" s="5">
        <v>0.50139999999999996</v>
      </c>
    </row>
    <row r="16" spans="1:16" x14ac:dyDescent="0.45">
      <c r="A16" s="2" t="s">
        <v>19</v>
      </c>
      <c r="B16" s="18" t="s">
        <v>149</v>
      </c>
      <c r="C16" s="21">
        <v>46241</v>
      </c>
      <c r="D16" s="27">
        <v>3.6900000000000002E-2</v>
      </c>
      <c r="E16" s="24">
        <f t="shared" si="1"/>
        <v>8.4931506849315067E-2</v>
      </c>
      <c r="F16" s="3">
        <v>46210.631944444445</v>
      </c>
      <c r="G16" s="11">
        <v>475</v>
      </c>
      <c r="H16" s="10">
        <v>4.22</v>
      </c>
      <c r="I16" s="10">
        <v>4.3</v>
      </c>
      <c r="J16" s="10">
        <v>4.45</v>
      </c>
      <c r="K16" s="10">
        <f t="shared" si="0"/>
        <v>4.375</v>
      </c>
      <c r="L16" s="10">
        <v>-2.88</v>
      </c>
      <c r="M16" s="5">
        <v>-0.40560000000000002</v>
      </c>
      <c r="N16" s="10">
        <v>34</v>
      </c>
      <c r="O16" s="4">
        <v>215</v>
      </c>
      <c r="P16" s="5">
        <v>0.50149999999999995</v>
      </c>
    </row>
    <row r="17" spans="1:16" x14ac:dyDescent="0.45">
      <c r="A17" s="2" t="s">
        <v>20</v>
      </c>
      <c r="B17" s="18" t="s">
        <v>149</v>
      </c>
      <c r="C17" s="21">
        <v>46241</v>
      </c>
      <c r="D17" s="27">
        <v>3.6900000000000002E-2</v>
      </c>
      <c r="E17" s="24">
        <f t="shared" si="1"/>
        <v>8.4931506849315067E-2</v>
      </c>
      <c r="F17" s="3">
        <v>46210.665972222225</v>
      </c>
      <c r="G17" s="11">
        <v>480</v>
      </c>
      <c r="H17" s="10">
        <v>3.9</v>
      </c>
      <c r="I17" s="10">
        <v>3.85</v>
      </c>
      <c r="J17" s="10">
        <v>3.95</v>
      </c>
      <c r="K17" s="10">
        <f t="shared" si="0"/>
        <v>3.9000000000000004</v>
      </c>
      <c r="L17" s="10">
        <v>-2.59</v>
      </c>
      <c r="M17" s="5">
        <v>-0.39910000000000001</v>
      </c>
      <c r="N17" s="10">
        <v>60</v>
      </c>
      <c r="O17" s="4">
        <v>3472</v>
      </c>
      <c r="P17" s="5">
        <v>0.50480000000000003</v>
      </c>
    </row>
    <row r="18" spans="1:16" x14ac:dyDescent="0.45">
      <c r="A18" s="7" t="s">
        <v>21</v>
      </c>
      <c r="B18" s="19" t="s">
        <v>150</v>
      </c>
      <c r="C18" s="21">
        <v>46241</v>
      </c>
      <c r="D18" s="27">
        <v>3.6900000000000002E-2</v>
      </c>
      <c r="E18" s="24">
        <f t="shared" si="1"/>
        <v>8.4931506849315067E-2</v>
      </c>
      <c r="F18" s="3">
        <v>46210.658333333333</v>
      </c>
      <c r="G18" s="12">
        <v>325</v>
      </c>
      <c r="H18" s="10">
        <v>2.25</v>
      </c>
      <c r="I18" s="10">
        <v>2.19</v>
      </c>
      <c r="J18" s="10">
        <v>2.27</v>
      </c>
      <c r="K18" s="10">
        <f t="shared" si="0"/>
        <v>2.23</v>
      </c>
      <c r="L18" s="10">
        <v>0.57999999999999996</v>
      </c>
      <c r="M18" s="5">
        <v>0.3473</v>
      </c>
      <c r="N18" s="10">
        <v>65</v>
      </c>
      <c r="O18" s="4">
        <v>116</v>
      </c>
      <c r="P18" s="5">
        <v>0.53039999999999998</v>
      </c>
    </row>
    <row r="19" spans="1:16" x14ac:dyDescent="0.45">
      <c r="A19" s="7" t="s">
        <v>22</v>
      </c>
      <c r="B19" s="19" t="s">
        <v>150</v>
      </c>
      <c r="C19" s="21">
        <v>46241</v>
      </c>
      <c r="D19" s="27">
        <v>3.6900000000000002E-2</v>
      </c>
      <c r="E19" s="24">
        <f t="shared" si="1"/>
        <v>8.4931506849315067E-2</v>
      </c>
      <c r="F19" s="3">
        <v>46210.655555555553</v>
      </c>
      <c r="G19" s="12">
        <v>330</v>
      </c>
      <c r="H19" s="10">
        <v>2.57</v>
      </c>
      <c r="I19" s="10">
        <v>2.57</v>
      </c>
      <c r="J19" s="10">
        <v>2.66</v>
      </c>
      <c r="K19" s="10">
        <f t="shared" si="0"/>
        <v>2.6150000000000002</v>
      </c>
      <c r="L19" s="10">
        <v>0.8</v>
      </c>
      <c r="M19" s="5">
        <v>0.45200000000000001</v>
      </c>
      <c r="N19" s="10">
        <v>35</v>
      </c>
      <c r="O19" s="4">
        <v>82</v>
      </c>
      <c r="P19" s="5">
        <v>0.52239999999999998</v>
      </c>
    </row>
    <row r="20" spans="1:16" x14ac:dyDescent="0.45">
      <c r="A20" s="7" t="s">
        <v>23</v>
      </c>
      <c r="B20" s="19" t="s">
        <v>150</v>
      </c>
      <c r="C20" s="21">
        <v>46241</v>
      </c>
      <c r="D20" s="27">
        <v>3.6900000000000002E-2</v>
      </c>
      <c r="E20" s="24">
        <f t="shared" si="1"/>
        <v>8.4931506849315067E-2</v>
      </c>
      <c r="F20" s="3">
        <v>46210.633333333331</v>
      </c>
      <c r="G20" s="12">
        <v>335</v>
      </c>
      <c r="H20" s="10">
        <v>3.11</v>
      </c>
      <c r="I20" s="10">
        <v>3</v>
      </c>
      <c r="J20" s="10">
        <v>3.15</v>
      </c>
      <c r="K20" s="10">
        <f t="shared" si="0"/>
        <v>3.0750000000000002</v>
      </c>
      <c r="L20" s="10">
        <v>0.93</v>
      </c>
      <c r="M20" s="5">
        <v>0.42659999999999998</v>
      </c>
      <c r="N20" s="10">
        <v>20</v>
      </c>
      <c r="O20" s="4">
        <v>103</v>
      </c>
      <c r="P20" s="5">
        <v>0.51519999999999999</v>
      </c>
    </row>
    <row r="21" spans="1:16" x14ac:dyDescent="0.45">
      <c r="A21" s="7" t="s">
        <v>24</v>
      </c>
      <c r="B21" s="19" t="s">
        <v>150</v>
      </c>
      <c r="C21" s="21">
        <v>46241</v>
      </c>
      <c r="D21" s="27">
        <v>3.6900000000000002E-2</v>
      </c>
      <c r="E21" s="24">
        <f t="shared" si="1"/>
        <v>8.4931506849315067E-2</v>
      </c>
      <c r="F21" s="3">
        <v>46210.665972222225</v>
      </c>
      <c r="G21" s="12">
        <v>340</v>
      </c>
      <c r="H21" s="10">
        <v>3.62</v>
      </c>
      <c r="I21" s="10">
        <v>3.55</v>
      </c>
      <c r="J21" s="10">
        <v>3.7</v>
      </c>
      <c r="K21" s="10">
        <f t="shared" si="0"/>
        <v>3.625</v>
      </c>
      <c r="L21" s="10">
        <v>1.08</v>
      </c>
      <c r="M21" s="5">
        <v>0.42520000000000002</v>
      </c>
      <c r="N21" s="10">
        <v>92</v>
      </c>
      <c r="O21" s="4">
        <v>366</v>
      </c>
      <c r="P21" s="5">
        <v>0.50900000000000001</v>
      </c>
    </row>
    <row r="22" spans="1:16" x14ac:dyDescent="0.45">
      <c r="A22" s="7" t="s">
        <v>25</v>
      </c>
      <c r="B22" s="19" t="s">
        <v>150</v>
      </c>
      <c r="C22" s="21">
        <v>46241</v>
      </c>
      <c r="D22" s="27">
        <v>3.6900000000000002E-2</v>
      </c>
      <c r="E22" s="24">
        <f t="shared" si="1"/>
        <v>8.4931506849315067E-2</v>
      </c>
      <c r="F22" s="3">
        <v>46210.665972222225</v>
      </c>
      <c r="G22" s="12">
        <v>345</v>
      </c>
      <c r="H22" s="10">
        <v>4.25</v>
      </c>
      <c r="I22" s="10">
        <v>4.1500000000000004</v>
      </c>
      <c r="J22" s="10">
        <v>4.3</v>
      </c>
      <c r="K22" s="10">
        <f t="shared" si="0"/>
        <v>4.2249999999999996</v>
      </c>
      <c r="L22" s="10">
        <v>1.48</v>
      </c>
      <c r="M22" s="5">
        <v>0.5343</v>
      </c>
      <c r="N22" s="10">
        <v>90</v>
      </c>
      <c r="O22" s="4">
        <v>396</v>
      </c>
      <c r="P22" s="5">
        <v>0.50149999999999995</v>
      </c>
    </row>
    <row r="23" spans="1:16" x14ac:dyDescent="0.45">
      <c r="A23" s="7" t="s">
        <v>26</v>
      </c>
      <c r="B23" s="19" t="s">
        <v>150</v>
      </c>
      <c r="C23" s="21">
        <v>46241</v>
      </c>
      <c r="D23" s="27">
        <v>3.6900000000000002E-2</v>
      </c>
      <c r="E23" s="24">
        <f t="shared" si="1"/>
        <v>8.4931506849315067E-2</v>
      </c>
      <c r="F23" s="3">
        <v>46210.665277777778</v>
      </c>
      <c r="G23" s="12">
        <v>350</v>
      </c>
      <c r="H23" s="10">
        <v>4.95</v>
      </c>
      <c r="I23" s="10">
        <v>4.9000000000000004</v>
      </c>
      <c r="J23" s="10">
        <v>5.05</v>
      </c>
      <c r="K23" s="10">
        <f t="shared" si="0"/>
        <v>4.9749999999999996</v>
      </c>
      <c r="L23" s="10">
        <v>1.68</v>
      </c>
      <c r="M23" s="5">
        <v>0.51380000000000003</v>
      </c>
      <c r="N23" s="10">
        <v>317</v>
      </c>
      <c r="O23" s="4">
        <v>571</v>
      </c>
      <c r="P23" s="5">
        <v>0.49919999999999998</v>
      </c>
    </row>
    <row r="24" spans="1:16" x14ac:dyDescent="0.45">
      <c r="A24" s="7" t="s">
        <v>27</v>
      </c>
      <c r="B24" s="19" t="s">
        <v>150</v>
      </c>
      <c r="C24" s="21">
        <v>46241</v>
      </c>
      <c r="D24" s="27">
        <v>3.6900000000000002E-2</v>
      </c>
      <c r="E24" s="24">
        <f t="shared" si="1"/>
        <v>8.4931506849315067E-2</v>
      </c>
      <c r="F24" s="3">
        <v>46210.661805555559</v>
      </c>
      <c r="G24" s="12">
        <v>355</v>
      </c>
      <c r="H24" s="10">
        <v>5.58</v>
      </c>
      <c r="I24" s="10">
        <v>5.75</v>
      </c>
      <c r="J24" s="10">
        <v>5.9</v>
      </c>
      <c r="K24" s="10">
        <f t="shared" si="0"/>
        <v>5.8250000000000002</v>
      </c>
      <c r="L24" s="10">
        <v>1.68</v>
      </c>
      <c r="M24" s="5">
        <v>0.43080000000000002</v>
      </c>
      <c r="N24" s="10">
        <v>110</v>
      </c>
      <c r="O24" s="4">
        <v>173</v>
      </c>
      <c r="P24" s="5">
        <v>0.49380000000000002</v>
      </c>
    </row>
    <row r="25" spans="1:16" x14ac:dyDescent="0.45">
      <c r="A25" s="7" t="s">
        <v>28</v>
      </c>
      <c r="B25" s="19" t="s">
        <v>150</v>
      </c>
      <c r="C25" s="21">
        <v>46241</v>
      </c>
      <c r="D25" s="27">
        <v>3.6900000000000002E-2</v>
      </c>
      <c r="E25" s="24">
        <f t="shared" si="1"/>
        <v>8.4931506849315067E-2</v>
      </c>
      <c r="F25" s="3">
        <v>46210.661111111112</v>
      </c>
      <c r="G25" s="12">
        <v>360</v>
      </c>
      <c r="H25" s="10">
        <v>6.49</v>
      </c>
      <c r="I25" s="10">
        <v>6.7</v>
      </c>
      <c r="J25" s="10">
        <v>6.9</v>
      </c>
      <c r="K25" s="10">
        <f t="shared" si="0"/>
        <v>6.8000000000000007</v>
      </c>
      <c r="L25" s="10">
        <v>2.04</v>
      </c>
      <c r="M25" s="5">
        <v>0.45839999999999997</v>
      </c>
      <c r="N25" s="10">
        <v>342</v>
      </c>
      <c r="O25" s="4">
        <v>545</v>
      </c>
      <c r="P25" s="5">
        <v>0.48949999999999999</v>
      </c>
    </row>
    <row r="26" spans="1:16" x14ac:dyDescent="0.45">
      <c r="A26" s="7" t="s">
        <v>29</v>
      </c>
      <c r="B26" s="19" t="s">
        <v>150</v>
      </c>
      <c r="C26" s="21">
        <v>46241</v>
      </c>
      <c r="D26" s="27">
        <v>3.6900000000000002E-2</v>
      </c>
      <c r="E26" s="24">
        <f t="shared" si="1"/>
        <v>8.4931506849315067E-2</v>
      </c>
      <c r="F26" s="3">
        <v>46210.664583333331</v>
      </c>
      <c r="G26" s="12">
        <v>365</v>
      </c>
      <c r="H26" s="10">
        <v>7.87</v>
      </c>
      <c r="I26" s="10">
        <v>7.8</v>
      </c>
      <c r="J26" s="10">
        <v>8</v>
      </c>
      <c r="K26" s="10">
        <f t="shared" si="0"/>
        <v>7.9</v>
      </c>
      <c r="L26" s="10">
        <v>2.3199999999999998</v>
      </c>
      <c r="M26" s="5">
        <v>0.41799999999999998</v>
      </c>
      <c r="N26" s="10">
        <v>135</v>
      </c>
      <c r="O26" s="4">
        <v>365</v>
      </c>
      <c r="P26" s="5">
        <v>0.48449999999999999</v>
      </c>
    </row>
    <row r="27" spans="1:16" x14ac:dyDescent="0.45">
      <c r="A27" s="7" t="s">
        <v>30</v>
      </c>
      <c r="B27" s="19" t="s">
        <v>150</v>
      </c>
      <c r="C27" s="21">
        <v>46241</v>
      </c>
      <c r="D27" s="27">
        <v>3.6900000000000002E-2</v>
      </c>
      <c r="E27" s="24">
        <f t="shared" si="1"/>
        <v>8.4931506849315067E-2</v>
      </c>
      <c r="F27" s="3">
        <v>46210.662499999999</v>
      </c>
      <c r="G27" s="12">
        <v>370</v>
      </c>
      <c r="H27" s="10">
        <v>8.85</v>
      </c>
      <c r="I27" s="10">
        <v>9.1</v>
      </c>
      <c r="J27" s="10">
        <v>9.3000000000000007</v>
      </c>
      <c r="K27" s="10">
        <f t="shared" si="0"/>
        <v>9.1999999999999993</v>
      </c>
      <c r="L27" s="10">
        <v>2.85</v>
      </c>
      <c r="M27" s="5">
        <v>0.47499999999999998</v>
      </c>
      <c r="N27" s="10">
        <v>108</v>
      </c>
      <c r="O27" s="4">
        <v>565</v>
      </c>
      <c r="P27" s="5">
        <v>0.48130000000000001</v>
      </c>
    </row>
    <row r="28" spans="1:16" x14ac:dyDescent="0.45">
      <c r="A28" s="7" t="s">
        <v>31</v>
      </c>
      <c r="B28" s="19" t="s">
        <v>150</v>
      </c>
      <c r="C28" s="21">
        <v>46241</v>
      </c>
      <c r="D28" s="27">
        <v>3.6900000000000002E-2</v>
      </c>
      <c r="E28" s="24">
        <f t="shared" si="1"/>
        <v>8.4931506849315067E-2</v>
      </c>
      <c r="F28" s="3">
        <v>46210.665277777778</v>
      </c>
      <c r="G28" s="12">
        <v>375</v>
      </c>
      <c r="H28" s="10">
        <v>10.65</v>
      </c>
      <c r="I28" s="10">
        <v>10.5</v>
      </c>
      <c r="J28" s="10">
        <v>10.75</v>
      </c>
      <c r="K28" s="10">
        <f t="shared" si="0"/>
        <v>10.625</v>
      </c>
      <c r="L28" s="10">
        <v>3.65</v>
      </c>
      <c r="M28" s="5">
        <v>0.52139999999999997</v>
      </c>
      <c r="N28" s="10">
        <v>116</v>
      </c>
      <c r="O28" s="4">
        <v>751</v>
      </c>
      <c r="P28" s="5">
        <v>0.47799999999999998</v>
      </c>
    </row>
    <row r="29" spans="1:16" x14ac:dyDescent="0.45">
      <c r="A29" s="7" t="s">
        <v>32</v>
      </c>
      <c r="B29" s="19" t="s">
        <v>150</v>
      </c>
      <c r="C29" s="21">
        <v>46241</v>
      </c>
      <c r="D29" s="27">
        <v>3.6900000000000002E-2</v>
      </c>
      <c r="E29" s="24">
        <f t="shared" si="1"/>
        <v>8.4931506849315067E-2</v>
      </c>
      <c r="F29" s="3">
        <v>46210.665972222225</v>
      </c>
      <c r="G29" s="12">
        <v>380</v>
      </c>
      <c r="H29" s="10">
        <v>12.35</v>
      </c>
      <c r="I29" s="10">
        <v>12.15</v>
      </c>
      <c r="J29" s="10">
        <v>12.35</v>
      </c>
      <c r="K29" s="10">
        <f t="shared" si="0"/>
        <v>12.25</v>
      </c>
      <c r="L29" s="10">
        <v>3.95</v>
      </c>
      <c r="M29" s="5">
        <v>0.47020000000000001</v>
      </c>
      <c r="N29" s="10">
        <v>135</v>
      </c>
      <c r="O29" s="4">
        <v>360</v>
      </c>
      <c r="P29" s="5">
        <v>0.47470000000000001</v>
      </c>
    </row>
    <row r="30" spans="1:16" x14ac:dyDescent="0.45">
      <c r="A30" s="7" t="s">
        <v>33</v>
      </c>
      <c r="B30" s="19" t="s">
        <v>150</v>
      </c>
      <c r="C30" s="21">
        <v>46241</v>
      </c>
      <c r="D30" s="27">
        <v>3.6900000000000002E-2</v>
      </c>
      <c r="E30" s="24">
        <f t="shared" si="1"/>
        <v>8.4931506849315067E-2</v>
      </c>
      <c r="F30" s="3">
        <v>46210.642361111109</v>
      </c>
      <c r="G30" s="12">
        <v>385</v>
      </c>
      <c r="H30" s="10">
        <v>14.15</v>
      </c>
      <c r="I30" s="10">
        <v>13.9</v>
      </c>
      <c r="J30" s="10">
        <v>14.15</v>
      </c>
      <c r="K30" s="10">
        <f t="shared" si="0"/>
        <v>14.025</v>
      </c>
      <c r="L30" s="10">
        <v>4.7</v>
      </c>
      <c r="M30" s="5">
        <v>0.49740000000000001</v>
      </c>
      <c r="N30" s="10">
        <v>115</v>
      </c>
      <c r="O30" s="4">
        <v>222</v>
      </c>
      <c r="P30" s="5">
        <v>0.47210000000000002</v>
      </c>
    </row>
    <row r="31" spans="1:16" x14ac:dyDescent="0.45">
      <c r="A31" s="7" t="s">
        <v>34</v>
      </c>
      <c r="B31" s="19" t="s">
        <v>150</v>
      </c>
      <c r="C31" s="21">
        <v>46241</v>
      </c>
      <c r="D31" s="27">
        <v>3.6900000000000002E-2</v>
      </c>
      <c r="E31" s="24">
        <f t="shared" si="1"/>
        <v>8.4931506849315067E-2</v>
      </c>
      <c r="F31" s="3">
        <v>46210.656944444447</v>
      </c>
      <c r="G31" s="12">
        <v>390</v>
      </c>
      <c r="H31" s="10">
        <v>15.77</v>
      </c>
      <c r="I31" s="10">
        <v>15.9</v>
      </c>
      <c r="J31" s="10">
        <v>16.149999999999999</v>
      </c>
      <c r="K31" s="10">
        <f t="shared" si="0"/>
        <v>16.024999999999999</v>
      </c>
      <c r="L31" s="10">
        <v>4.62</v>
      </c>
      <c r="M31" s="5">
        <v>0.4143</v>
      </c>
      <c r="N31" s="10">
        <v>94</v>
      </c>
      <c r="O31" s="4">
        <v>238</v>
      </c>
      <c r="P31" s="5">
        <v>0.4703</v>
      </c>
    </row>
    <row r="32" spans="1:16" x14ac:dyDescent="0.45">
      <c r="A32" s="7" t="s">
        <v>35</v>
      </c>
      <c r="B32" s="19" t="s">
        <v>150</v>
      </c>
      <c r="C32" s="21">
        <v>46241</v>
      </c>
      <c r="D32" s="27">
        <v>3.6900000000000002E-2</v>
      </c>
      <c r="E32" s="24">
        <f t="shared" si="1"/>
        <v>8.4931506849315067E-2</v>
      </c>
      <c r="F32" s="3">
        <v>46210.665277777778</v>
      </c>
      <c r="G32" s="12">
        <v>395</v>
      </c>
      <c r="H32" s="10">
        <v>18.3</v>
      </c>
      <c r="I32" s="10">
        <v>18.05</v>
      </c>
      <c r="J32" s="10">
        <v>18.3</v>
      </c>
      <c r="K32" s="10">
        <f t="shared" si="0"/>
        <v>18.175000000000001</v>
      </c>
      <c r="L32" s="10">
        <v>5.95</v>
      </c>
      <c r="M32" s="5">
        <v>0.48180000000000001</v>
      </c>
      <c r="N32" s="10">
        <v>93</v>
      </c>
      <c r="O32" s="4">
        <v>249</v>
      </c>
      <c r="P32" s="5">
        <v>0.46779999999999999</v>
      </c>
    </row>
    <row r="33" spans="1:16" x14ac:dyDescent="0.45">
      <c r="A33" s="7" t="s">
        <v>36</v>
      </c>
      <c r="B33" s="19" t="s">
        <v>150</v>
      </c>
      <c r="C33" s="21">
        <v>46241</v>
      </c>
      <c r="D33" s="27">
        <v>3.6900000000000002E-2</v>
      </c>
      <c r="E33" s="24">
        <f t="shared" si="1"/>
        <v>8.4931506849315067E-2</v>
      </c>
      <c r="F33" s="3">
        <v>46210.665972222225</v>
      </c>
      <c r="G33" s="12">
        <v>400</v>
      </c>
      <c r="H33" s="10">
        <v>20.6</v>
      </c>
      <c r="I33" s="10">
        <v>20.399999999999999</v>
      </c>
      <c r="J33" s="10">
        <v>20.65</v>
      </c>
      <c r="K33" s="10">
        <f t="shared" si="0"/>
        <v>20.524999999999999</v>
      </c>
      <c r="L33" s="10">
        <v>6.4</v>
      </c>
      <c r="M33" s="5">
        <v>0.45069999999999999</v>
      </c>
      <c r="N33" s="10">
        <v>219</v>
      </c>
      <c r="O33" s="4">
        <v>523</v>
      </c>
      <c r="P33" s="8">
        <v>0.46579999999999999</v>
      </c>
    </row>
    <row r="34" spans="1:16" x14ac:dyDescent="0.45">
      <c r="A34" s="2" t="s">
        <v>37</v>
      </c>
      <c r="B34" s="18" t="s">
        <v>149</v>
      </c>
      <c r="C34" s="21">
        <v>46311</v>
      </c>
      <c r="D34" s="27">
        <v>3.8856420000000003E-2</v>
      </c>
      <c r="E34" s="24">
        <f t="shared" si="1"/>
        <v>0.27671232876712326</v>
      </c>
      <c r="F34" s="3">
        <v>46210.660416666666</v>
      </c>
      <c r="G34" s="11">
        <v>405</v>
      </c>
      <c r="H34" s="10">
        <v>42</v>
      </c>
      <c r="I34" s="10">
        <v>40.65</v>
      </c>
      <c r="J34" s="10">
        <v>41.05</v>
      </c>
      <c r="K34" s="10">
        <f t="shared" si="0"/>
        <v>40.849999999999994</v>
      </c>
      <c r="L34" s="10">
        <v>-7.04</v>
      </c>
      <c r="M34" s="5">
        <v>-0.14360000000000001</v>
      </c>
      <c r="N34" s="10">
        <v>151</v>
      </c>
      <c r="O34" s="4">
        <v>252</v>
      </c>
      <c r="P34" s="5">
        <v>0.49790000000000001</v>
      </c>
    </row>
    <row r="35" spans="1:16" x14ac:dyDescent="0.45">
      <c r="A35" s="2" t="s">
        <v>38</v>
      </c>
      <c r="B35" s="18" t="s">
        <v>149</v>
      </c>
      <c r="C35" s="21">
        <v>46311</v>
      </c>
      <c r="D35" s="27">
        <v>3.8856420000000003E-2</v>
      </c>
      <c r="E35" s="24">
        <f t="shared" si="1"/>
        <v>0.27671232876712326</v>
      </c>
      <c r="F35" s="3">
        <v>46210.652777777781</v>
      </c>
      <c r="G35" s="11">
        <v>410</v>
      </c>
      <c r="H35" s="10">
        <v>38.85</v>
      </c>
      <c r="I35" s="10">
        <v>38.35</v>
      </c>
      <c r="J35" s="10">
        <v>38.799999999999997</v>
      </c>
      <c r="K35" s="10">
        <f t="shared" si="0"/>
        <v>38.575000000000003</v>
      </c>
      <c r="L35" s="10">
        <v>-9.2100000000000009</v>
      </c>
      <c r="M35" s="5">
        <v>-0.19159999999999999</v>
      </c>
      <c r="N35" s="10">
        <v>151</v>
      </c>
      <c r="O35" s="4">
        <v>630</v>
      </c>
      <c r="P35" s="5">
        <v>0.49680000000000002</v>
      </c>
    </row>
    <row r="36" spans="1:16" x14ac:dyDescent="0.45">
      <c r="A36" s="2" t="s">
        <v>39</v>
      </c>
      <c r="B36" s="18" t="s">
        <v>149</v>
      </c>
      <c r="C36" s="21">
        <v>46311</v>
      </c>
      <c r="D36" s="27">
        <v>3.8856420000000003E-2</v>
      </c>
      <c r="E36" s="24">
        <f t="shared" si="1"/>
        <v>0.27671232876712326</v>
      </c>
      <c r="F36" s="3">
        <v>46210.658333333333</v>
      </c>
      <c r="G36" s="11">
        <v>415</v>
      </c>
      <c r="H36" s="10">
        <v>36.4</v>
      </c>
      <c r="I36" s="10">
        <v>36.200000000000003</v>
      </c>
      <c r="J36" s="10">
        <v>36.6</v>
      </c>
      <c r="K36" s="10">
        <f t="shared" si="0"/>
        <v>36.400000000000006</v>
      </c>
      <c r="L36" s="10">
        <v>-9.1</v>
      </c>
      <c r="M36" s="5">
        <v>-0.2</v>
      </c>
      <c r="N36" s="10">
        <v>41</v>
      </c>
      <c r="O36" s="4">
        <v>418</v>
      </c>
      <c r="P36" s="5">
        <v>0.49519999999999997</v>
      </c>
    </row>
    <row r="37" spans="1:16" x14ac:dyDescent="0.45">
      <c r="A37" s="2" t="s">
        <v>40</v>
      </c>
      <c r="B37" s="18" t="s">
        <v>149</v>
      </c>
      <c r="C37" s="21">
        <v>46311</v>
      </c>
      <c r="D37" s="27">
        <v>3.8856420000000003E-2</v>
      </c>
      <c r="E37" s="24">
        <f t="shared" si="1"/>
        <v>0.27671232876712326</v>
      </c>
      <c r="F37" s="3">
        <v>46210.664583333331</v>
      </c>
      <c r="G37" s="11">
        <v>420</v>
      </c>
      <c r="H37" s="10">
        <v>34.4</v>
      </c>
      <c r="I37" s="10">
        <v>34.15</v>
      </c>
      <c r="J37" s="10">
        <v>34.6</v>
      </c>
      <c r="K37" s="10">
        <f t="shared" si="0"/>
        <v>34.375</v>
      </c>
      <c r="L37" s="10">
        <v>-7.48</v>
      </c>
      <c r="M37" s="5">
        <v>-0.17860000000000001</v>
      </c>
      <c r="N37" s="10">
        <v>195</v>
      </c>
      <c r="O37" s="4">
        <v>1584</v>
      </c>
      <c r="P37" s="5">
        <v>0.49480000000000002</v>
      </c>
    </row>
    <row r="38" spans="1:16" x14ac:dyDescent="0.45">
      <c r="A38" s="2" t="s">
        <v>41</v>
      </c>
      <c r="B38" s="18" t="s">
        <v>149</v>
      </c>
      <c r="C38" s="21">
        <v>46311</v>
      </c>
      <c r="D38" s="27">
        <v>3.8856420000000003E-2</v>
      </c>
      <c r="E38" s="24">
        <f t="shared" si="1"/>
        <v>0.27671232876712326</v>
      </c>
      <c r="F38" s="3">
        <v>46210.646527777775</v>
      </c>
      <c r="G38" s="11">
        <v>425</v>
      </c>
      <c r="H38" s="10">
        <v>32.549999999999997</v>
      </c>
      <c r="I38" s="10">
        <v>32.200000000000003</v>
      </c>
      <c r="J38" s="10">
        <v>32.6</v>
      </c>
      <c r="K38" s="10">
        <f t="shared" si="0"/>
        <v>32.400000000000006</v>
      </c>
      <c r="L38" s="10">
        <v>-8.3000000000000007</v>
      </c>
      <c r="M38" s="5">
        <v>-0.20319999999999999</v>
      </c>
      <c r="N38" s="10">
        <v>39</v>
      </c>
      <c r="O38" s="4">
        <v>366</v>
      </c>
      <c r="P38" s="5">
        <v>0.49349999999999999</v>
      </c>
    </row>
    <row r="39" spans="1:16" x14ac:dyDescent="0.45">
      <c r="A39" s="2" t="s">
        <v>42</v>
      </c>
      <c r="B39" s="18" t="s">
        <v>149</v>
      </c>
      <c r="C39" s="21">
        <v>46311</v>
      </c>
      <c r="D39" s="27">
        <v>3.8856420000000003E-2</v>
      </c>
      <c r="E39" s="24">
        <f t="shared" si="1"/>
        <v>0.27671232876712326</v>
      </c>
      <c r="F39" s="3">
        <v>46210.664583333331</v>
      </c>
      <c r="G39" s="11">
        <v>430</v>
      </c>
      <c r="H39" s="10">
        <v>30.5</v>
      </c>
      <c r="I39" s="10">
        <v>30.35</v>
      </c>
      <c r="J39" s="10">
        <v>30.7</v>
      </c>
      <c r="K39" s="10">
        <f t="shared" si="0"/>
        <v>30.524999999999999</v>
      </c>
      <c r="L39" s="10">
        <v>-8.1</v>
      </c>
      <c r="M39" s="5">
        <v>-0.20979999999999999</v>
      </c>
      <c r="N39" s="10">
        <v>38</v>
      </c>
      <c r="O39" s="4">
        <v>5535</v>
      </c>
      <c r="P39" s="5">
        <v>0.49230000000000002</v>
      </c>
    </row>
    <row r="40" spans="1:16" x14ac:dyDescent="0.45">
      <c r="A40" s="2" t="s">
        <v>43</v>
      </c>
      <c r="B40" s="18" t="s">
        <v>149</v>
      </c>
      <c r="C40" s="21">
        <v>46311</v>
      </c>
      <c r="D40" s="27">
        <v>3.8856420000000003E-2</v>
      </c>
      <c r="E40" s="24">
        <f t="shared" si="1"/>
        <v>0.27671232876712326</v>
      </c>
      <c r="F40" s="3">
        <v>46210.652083333334</v>
      </c>
      <c r="G40" s="11">
        <v>435</v>
      </c>
      <c r="H40" s="10">
        <v>28.84</v>
      </c>
      <c r="I40" s="10">
        <v>28.6</v>
      </c>
      <c r="J40" s="10">
        <v>28.95</v>
      </c>
      <c r="K40" s="10">
        <f t="shared" si="0"/>
        <v>28.774999999999999</v>
      </c>
      <c r="L40" s="10">
        <v>-6.61</v>
      </c>
      <c r="M40" s="5">
        <v>-0.1865</v>
      </c>
      <c r="N40" s="10">
        <v>176</v>
      </c>
      <c r="O40" s="4">
        <v>268</v>
      </c>
      <c r="P40" s="5">
        <v>0.4919</v>
      </c>
    </row>
    <row r="41" spans="1:16" x14ac:dyDescent="0.45">
      <c r="A41" s="2" t="s">
        <v>44</v>
      </c>
      <c r="B41" s="18" t="s">
        <v>149</v>
      </c>
      <c r="C41" s="21">
        <v>46311</v>
      </c>
      <c r="D41" s="27">
        <v>3.8856420000000003E-2</v>
      </c>
      <c r="E41" s="24">
        <f t="shared" si="1"/>
        <v>0.27671232876712326</v>
      </c>
      <c r="F41" s="3">
        <v>46210.665277777778</v>
      </c>
      <c r="G41" s="11">
        <v>440</v>
      </c>
      <c r="H41" s="10">
        <v>27.1</v>
      </c>
      <c r="I41" s="10">
        <v>26.95</v>
      </c>
      <c r="J41" s="10">
        <v>27.3</v>
      </c>
      <c r="K41" s="10">
        <f t="shared" si="0"/>
        <v>27.125</v>
      </c>
      <c r="L41" s="10">
        <v>-7.55</v>
      </c>
      <c r="M41" s="5">
        <v>-0.21790000000000001</v>
      </c>
      <c r="N41" s="10">
        <v>41</v>
      </c>
      <c r="O41" s="4">
        <v>553</v>
      </c>
      <c r="P41" s="5">
        <v>0.49180000000000001</v>
      </c>
    </row>
    <row r="42" spans="1:16" x14ac:dyDescent="0.45">
      <c r="A42" s="2" t="s">
        <v>45</v>
      </c>
      <c r="B42" s="18" t="s">
        <v>149</v>
      </c>
      <c r="C42" s="21">
        <v>46311</v>
      </c>
      <c r="D42" s="27">
        <v>3.8856420000000003E-2</v>
      </c>
      <c r="E42" s="24">
        <f t="shared" si="1"/>
        <v>0.27671232876712326</v>
      </c>
      <c r="F42" s="3">
        <v>46210.640972222223</v>
      </c>
      <c r="G42" s="11">
        <v>445</v>
      </c>
      <c r="H42" s="10">
        <v>25.25</v>
      </c>
      <c r="I42" s="10">
        <v>25.35</v>
      </c>
      <c r="J42" s="10">
        <v>25.75</v>
      </c>
      <c r="K42" s="10">
        <f t="shared" si="0"/>
        <v>25.55</v>
      </c>
      <c r="L42" s="10">
        <v>-6.11</v>
      </c>
      <c r="M42" s="5">
        <v>-0.1948</v>
      </c>
      <c r="N42" s="10">
        <v>9</v>
      </c>
      <c r="O42" s="4">
        <v>1304</v>
      </c>
      <c r="P42" s="5">
        <v>0.49180000000000001</v>
      </c>
    </row>
    <row r="43" spans="1:16" x14ac:dyDescent="0.45">
      <c r="A43" s="2" t="s">
        <v>46</v>
      </c>
      <c r="B43" s="18" t="s">
        <v>149</v>
      </c>
      <c r="C43" s="21">
        <v>46311</v>
      </c>
      <c r="D43" s="27">
        <v>3.8856420000000003E-2</v>
      </c>
      <c r="E43" s="24">
        <f t="shared" si="1"/>
        <v>0.27671232876712326</v>
      </c>
      <c r="F43" s="3">
        <v>46210.663194444445</v>
      </c>
      <c r="G43" s="11">
        <v>450</v>
      </c>
      <c r="H43" s="10">
        <v>24</v>
      </c>
      <c r="I43" s="10">
        <v>23.9</v>
      </c>
      <c r="J43" s="10">
        <v>24.2</v>
      </c>
      <c r="K43" s="10">
        <f t="shared" si="0"/>
        <v>24.049999999999997</v>
      </c>
      <c r="L43" s="10">
        <v>-6.78</v>
      </c>
      <c r="M43" s="5">
        <v>-0.2203</v>
      </c>
      <c r="N43" s="10">
        <v>228</v>
      </c>
      <c r="O43" s="4">
        <v>5043</v>
      </c>
      <c r="P43" s="5">
        <v>0.49099999999999999</v>
      </c>
    </row>
    <row r="44" spans="1:16" x14ac:dyDescent="0.45">
      <c r="A44" s="2" t="s">
        <v>47</v>
      </c>
      <c r="B44" s="18" t="s">
        <v>149</v>
      </c>
      <c r="C44" s="21">
        <v>46311</v>
      </c>
      <c r="D44" s="27">
        <v>3.8856420000000003E-2</v>
      </c>
      <c r="E44" s="24">
        <f t="shared" si="1"/>
        <v>0.27671232876712326</v>
      </c>
      <c r="F44" s="3">
        <v>46210.618750000001</v>
      </c>
      <c r="G44" s="11">
        <v>455</v>
      </c>
      <c r="H44" s="10">
        <v>22.85</v>
      </c>
      <c r="I44" s="10">
        <v>22.45</v>
      </c>
      <c r="J44" s="10">
        <v>22.8</v>
      </c>
      <c r="K44" s="10">
        <f t="shared" si="0"/>
        <v>22.625</v>
      </c>
      <c r="L44" s="10">
        <v>-6.25</v>
      </c>
      <c r="M44" s="5">
        <v>-0.21479999999999999</v>
      </c>
      <c r="N44" s="10">
        <v>17</v>
      </c>
      <c r="O44" s="4">
        <v>233</v>
      </c>
      <c r="P44" s="5">
        <v>0.49109999999999998</v>
      </c>
    </row>
    <row r="45" spans="1:16" x14ac:dyDescent="0.45">
      <c r="A45" s="2" t="s">
        <v>48</v>
      </c>
      <c r="B45" s="18" t="s">
        <v>149</v>
      </c>
      <c r="C45" s="21">
        <v>46311</v>
      </c>
      <c r="D45" s="27">
        <v>3.8856420000000003E-2</v>
      </c>
      <c r="E45" s="24">
        <f t="shared" si="1"/>
        <v>0.27671232876712326</v>
      </c>
      <c r="F45" s="3">
        <v>46210.661111111112</v>
      </c>
      <c r="G45" s="11">
        <v>460</v>
      </c>
      <c r="H45" s="10">
        <v>21.75</v>
      </c>
      <c r="I45" s="10">
        <v>21.15</v>
      </c>
      <c r="J45" s="10">
        <v>21.45</v>
      </c>
      <c r="K45" s="10">
        <f t="shared" si="0"/>
        <v>21.299999999999997</v>
      </c>
      <c r="L45" s="10">
        <v>-5.75</v>
      </c>
      <c r="M45" s="5">
        <v>-0.20910000000000001</v>
      </c>
      <c r="N45" s="10">
        <v>102</v>
      </c>
      <c r="O45" s="4">
        <v>894</v>
      </c>
      <c r="P45" s="5">
        <v>0.4909</v>
      </c>
    </row>
    <row r="46" spans="1:16" x14ac:dyDescent="0.45">
      <c r="A46" s="2" t="s">
        <v>49</v>
      </c>
      <c r="B46" s="18" t="s">
        <v>149</v>
      </c>
      <c r="C46" s="21">
        <v>46311</v>
      </c>
      <c r="D46" s="27">
        <v>3.8856420000000003E-2</v>
      </c>
      <c r="E46" s="24">
        <f t="shared" si="1"/>
        <v>0.27671232876712326</v>
      </c>
      <c r="F46" s="3">
        <v>46210.657638888886</v>
      </c>
      <c r="G46" s="11">
        <v>465</v>
      </c>
      <c r="H46" s="10">
        <v>20.07</v>
      </c>
      <c r="I46" s="10">
        <v>19.850000000000001</v>
      </c>
      <c r="J46" s="10">
        <v>20.25</v>
      </c>
      <c r="K46" s="10">
        <f t="shared" si="0"/>
        <v>20.05</v>
      </c>
      <c r="L46" s="10">
        <v>-5.9</v>
      </c>
      <c r="M46" s="5">
        <v>-0.22720000000000001</v>
      </c>
      <c r="N46" s="10">
        <v>11</v>
      </c>
      <c r="O46" s="4">
        <v>478</v>
      </c>
      <c r="P46" s="5">
        <v>0.49180000000000001</v>
      </c>
    </row>
    <row r="47" spans="1:16" x14ac:dyDescent="0.45">
      <c r="A47" s="2" t="s">
        <v>50</v>
      </c>
      <c r="B47" s="18" t="s">
        <v>149</v>
      </c>
      <c r="C47" s="21">
        <v>46311</v>
      </c>
      <c r="D47" s="27">
        <v>3.8856420000000003E-2</v>
      </c>
      <c r="E47" s="24">
        <f t="shared" si="1"/>
        <v>0.27671232876712326</v>
      </c>
      <c r="F47" s="3">
        <v>46210.637499999997</v>
      </c>
      <c r="G47" s="11">
        <v>470</v>
      </c>
      <c r="H47" s="10">
        <v>18.5</v>
      </c>
      <c r="I47" s="10">
        <v>18.7</v>
      </c>
      <c r="J47" s="10">
        <v>19</v>
      </c>
      <c r="K47" s="10">
        <f t="shared" si="0"/>
        <v>18.850000000000001</v>
      </c>
      <c r="L47" s="10">
        <v>-5.5</v>
      </c>
      <c r="M47" s="5">
        <v>-0.22919999999999999</v>
      </c>
      <c r="N47" s="10">
        <v>17</v>
      </c>
      <c r="O47" s="4">
        <v>450</v>
      </c>
      <c r="P47" s="5">
        <v>0.49120000000000003</v>
      </c>
    </row>
    <row r="48" spans="1:16" x14ac:dyDescent="0.45">
      <c r="A48" s="2" t="s">
        <v>51</v>
      </c>
      <c r="B48" s="18" t="s">
        <v>149</v>
      </c>
      <c r="C48" s="21">
        <v>46311</v>
      </c>
      <c r="D48" s="27">
        <v>3.8856420000000003E-2</v>
      </c>
      <c r="E48" s="24">
        <f t="shared" si="1"/>
        <v>0.27671232876712326</v>
      </c>
      <c r="F48" s="3">
        <v>46210.637499999997</v>
      </c>
      <c r="G48" s="11">
        <v>475</v>
      </c>
      <c r="H48" s="10">
        <v>17.399999999999999</v>
      </c>
      <c r="I48" s="10">
        <v>17.649999999999999</v>
      </c>
      <c r="J48" s="10">
        <v>17.899999999999999</v>
      </c>
      <c r="K48" s="10">
        <f t="shared" si="0"/>
        <v>17.774999999999999</v>
      </c>
      <c r="L48" s="10">
        <v>-4.8</v>
      </c>
      <c r="M48" s="5">
        <v>-0.2162</v>
      </c>
      <c r="N48" s="10">
        <v>15</v>
      </c>
      <c r="O48" s="4">
        <v>1319</v>
      </c>
      <c r="P48" s="5">
        <v>0.49170000000000003</v>
      </c>
    </row>
    <row r="49" spans="1:16" x14ac:dyDescent="0.45">
      <c r="A49" s="2" t="s">
        <v>52</v>
      </c>
      <c r="B49" s="18" t="s">
        <v>149</v>
      </c>
      <c r="C49" s="21">
        <v>46311</v>
      </c>
      <c r="D49" s="27">
        <v>3.8856420000000003E-2</v>
      </c>
      <c r="E49" s="24">
        <f t="shared" si="1"/>
        <v>0.27671232876712326</v>
      </c>
      <c r="F49" s="3">
        <v>46210.660416666666</v>
      </c>
      <c r="G49" s="11">
        <v>480</v>
      </c>
      <c r="H49" s="10">
        <v>17.190000000000001</v>
      </c>
      <c r="I49" s="10">
        <v>16.55</v>
      </c>
      <c r="J49" s="10">
        <v>16.850000000000001</v>
      </c>
      <c r="K49" s="10">
        <f t="shared" si="0"/>
        <v>16.700000000000003</v>
      </c>
      <c r="L49" s="10">
        <v>-2.91</v>
      </c>
      <c r="M49" s="5">
        <v>-0.14480000000000001</v>
      </c>
      <c r="N49" s="10">
        <v>27</v>
      </c>
      <c r="O49" s="4">
        <v>671</v>
      </c>
      <c r="P49" s="5">
        <v>0.49209999999999998</v>
      </c>
    </row>
    <row r="50" spans="1:16" x14ac:dyDescent="0.45">
      <c r="A50" s="2" t="s">
        <v>53</v>
      </c>
      <c r="B50" s="18" t="s">
        <v>150</v>
      </c>
      <c r="C50" s="21">
        <v>46311</v>
      </c>
      <c r="D50" s="27">
        <v>3.8856420000000003E-2</v>
      </c>
      <c r="E50" s="24">
        <f t="shared" si="1"/>
        <v>0.27671232876712326</v>
      </c>
      <c r="F50" s="3">
        <v>46210.634027777778</v>
      </c>
      <c r="G50" s="11">
        <v>325</v>
      </c>
      <c r="H50" s="10">
        <v>9.75</v>
      </c>
      <c r="I50" s="10">
        <v>9.65</v>
      </c>
      <c r="J50" s="10">
        <v>9.85</v>
      </c>
      <c r="K50" s="10">
        <f t="shared" si="0"/>
        <v>9.75</v>
      </c>
      <c r="L50" s="10">
        <v>1.76</v>
      </c>
      <c r="M50" s="5">
        <v>0.2203</v>
      </c>
      <c r="N50" s="10">
        <v>21</v>
      </c>
      <c r="O50" s="4">
        <v>2676</v>
      </c>
      <c r="P50" s="5">
        <v>0.47749999999999998</v>
      </c>
    </row>
    <row r="51" spans="1:16" x14ac:dyDescent="0.45">
      <c r="A51" s="2" t="s">
        <v>54</v>
      </c>
      <c r="B51" s="18" t="s">
        <v>150</v>
      </c>
      <c r="C51" s="21">
        <v>46311</v>
      </c>
      <c r="D51" s="27">
        <v>3.8856420000000003E-2</v>
      </c>
      <c r="E51" s="24">
        <f t="shared" si="1"/>
        <v>0.27671232876712326</v>
      </c>
      <c r="F51" s="3">
        <v>46210.654861111114</v>
      </c>
      <c r="G51" s="11">
        <v>330</v>
      </c>
      <c r="H51" s="10">
        <v>10.6</v>
      </c>
      <c r="I51" s="10">
        <v>10.65</v>
      </c>
      <c r="J51" s="10">
        <v>10.9</v>
      </c>
      <c r="K51" s="10">
        <f t="shared" si="0"/>
        <v>10.775</v>
      </c>
      <c r="L51" s="10">
        <v>1.5</v>
      </c>
      <c r="M51" s="5">
        <v>0.1648</v>
      </c>
      <c r="N51" s="10">
        <v>44</v>
      </c>
      <c r="O51" s="4">
        <v>2193</v>
      </c>
      <c r="P51" s="5">
        <v>0.47460000000000002</v>
      </c>
    </row>
    <row r="52" spans="1:16" x14ac:dyDescent="0.45">
      <c r="A52" s="2" t="s">
        <v>55</v>
      </c>
      <c r="B52" s="18" t="s">
        <v>150</v>
      </c>
      <c r="C52" s="21">
        <v>46311</v>
      </c>
      <c r="D52" s="27">
        <v>3.8856420000000003E-2</v>
      </c>
      <c r="E52" s="24">
        <f t="shared" si="1"/>
        <v>0.27671232876712326</v>
      </c>
      <c r="F52" s="3">
        <v>46210.633333333331</v>
      </c>
      <c r="G52" s="11">
        <v>335</v>
      </c>
      <c r="H52" s="10">
        <v>11.85</v>
      </c>
      <c r="I52" s="10">
        <v>11.75</v>
      </c>
      <c r="J52" s="10">
        <v>12</v>
      </c>
      <c r="K52" s="10">
        <f t="shared" si="0"/>
        <v>11.875</v>
      </c>
      <c r="L52" s="10">
        <v>2.13</v>
      </c>
      <c r="M52" s="5">
        <v>0.21909999999999999</v>
      </c>
      <c r="N52" s="10">
        <v>14</v>
      </c>
      <c r="O52" s="4">
        <v>903</v>
      </c>
      <c r="P52" s="5">
        <v>0.47120000000000001</v>
      </c>
    </row>
    <row r="53" spans="1:16" x14ac:dyDescent="0.45">
      <c r="A53" s="2" t="s">
        <v>56</v>
      </c>
      <c r="B53" s="18" t="s">
        <v>150</v>
      </c>
      <c r="C53" s="21">
        <v>46311</v>
      </c>
      <c r="D53" s="27">
        <v>3.8856420000000003E-2</v>
      </c>
      <c r="E53" s="24">
        <f t="shared" si="1"/>
        <v>0.27671232876712326</v>
      </c>
      <c r="F53" s="3">
        <v>46210.651388888888</v>
      </c>
      <c r="G53" s="11">
        <v>340</v>
      </c>
      <c r="H53" s="10">
        <v>12.98</v>
      </c>
      <c r="I53" s="10">
        <v>12.95</v>
      </c>
      <c r="J53" s="10">
        <v>13.2</v>
      </c>
      <c r="K53" s="10">
        <f t="shared" si="0"/>
        <v>13.074999999999999</v>
      </c>
      <c r="L53" s="10">
        <v>2.29</v>
      </c>
      <c r="M53" s="5">
        <v>0.2142</v>
      </c>
      <c r="N53" s="10">
        <v>47</v>
      </c>
      <c r="O53" s="4">
        <v>2019</v>
      </c>
      <c r="P53" s="5">
        <v>0.46810000000000002</v>
      </c>
    </row>
    <row r="54" spans="1:16" x14ac:dyDescent="0.45">
      <c r="A54" s="2" t="s">
        <v>57</v>
      </c>
      <c r="B54" s="18" t="s">
        <v>150</v>
      </c>
      <c r="C54" s="21">
        <v>46311</v>
      </c>
      <c r="D54" s="27">
        <v>3.8856420000000003E-2</v>
      </c>
      <c r="E54" s="24">
        <f t="shared" si="1"/>
        <v>0.27671232876712326</v>
      </c>
      <c r="F54" s="3">
        <v>46210.631944444445</v>
      </c>
      <c r="G54" s="11">
        <v>345</v>
      </c>
      <c r="H54" s="10">
        <v>14.4</v>
      </c>
      <c r="I54" s="10">
        <v>14.25</v>
      </c>
      <c r="J54" s="10">
        <v>14.5</v>
      </c>
      <c r="K54" s="10">
        <f t="shared" si="0"/>
        <v>14.375</v>
      </c>
      <c r="L54" s="10">
        <v>2.99</v>
      </c>
      <c r="M54" s="5">
        <v>0.2621</v>
      </c>
      <c r="N54" s="10">
        <v>107</v>
      </c>
      <c r="O54" s="4">
        <v>114</v>
      </c>
      <c r="P54" s="5">
        <v>0.46529999999999999</v>
      </c>
    </row>
    <row r="55" spans="1:16" x14ac:dyDescent="0.45">
      <c r="A55" s="2" t="s">
        <v>58</v>
      </c>
      <c r="B55" s="18" t="s">
        <v>150</v>
      </c>
      <c r="C55" s="21">
        <v>46311</v>
      </c>
      <c r="D55" s="27">
        <v>3.8856420000000003E-2</v>
      </c>
      <c r="E55" s="24">
        <f t="shared" si="1"/>
        <v>0.27671232876712326</v>
      </c>
      <c r="F55" s="3">
        <v>46210.648611111108</v>
      </c>
      <c r="G55" s="11">
        <v>350</v>
      </c>
      <c r="H55" s="10">
        <v>15.69</v>
      </c>
      <c r="I55" s="10">
        <v>15.65</v>
      </c>
      <c r="J55" s="10">
        <v>15.85</v>
      </c>
      <c r="K55" s="10">
        <f t="shared" si="0"/>
        <v>15.75</v>
      </c>
      <c r="L55" s="10">
        <v>2.94</v>
      </c>
      <c r="M55" s="5">
        <v>0.2306</v>
      </c>
      <c r="N55" s="10">
        <v>60</v>
      </c>
      <c r="O55" s="4">
        <v>2568</v>
      </c>
      <c r="P55" s="5">
        <v>0.46189999999999998</v>
      </c>
    </row>
    <row r="56" spans="1:16" x14ac:dyDescent="0.45">
      <c r="A56" s="2" t="s">
        <v>59</v>
      </c>
      <c r="B56" s="18" t="s">
        <v>150</v>
      </c>
      <c r="C56" s="21">
        <v>46311</v>
      </c>
      <c r="D56" s="27">
        <v>3.8856420000000003E-2</v>
      </c>
      <c r="E56" s="24">
        <f t="shared" si="1"/>
        <v>0.27671232876712326</v>
      </c>
      <c r="F56" s="3">
        <v>46210.664583333331</v>
      </c>
      <c r="G56" s="11">
        <v>355</v>
      </c>
      <c r="H56" s="10">
        <v>17.149999999999999</v>
      </c>
      <c r="I56" s="10">
        <v>17.100000000000001</v>
      </c>
      <c r="J56" s="10">
        <v>17.350000000000001</v>
      </c>
      <c r="K56" s="10">
        <f t="shared" si="0"/>
        <v>17.225000000000001</v>
      </c>
      <c r="L56" s="10">
        <v>2.95</v>
      </c>
      <c r="M56" s="5">
        <v>0.2077</v>
      </c>
      <c r="N56" s="10">
        <v>18</v>
      </c>
      <c r="O56" s="4">
        <v>728</v>
      </c>
      <c r="P56" s="5">
        <v>0.45939999999999998</v>
      </c>
    </row>
    <row r="57" spans="1:16" x14ac:dyDescent="0.45">
      <c r="A57" s="2" t="s">
        <v>60</v>
      </c>
      <c r="B57" s="18" t="s">
        <v>150</v>
      </c>
      <c r="C57" s="21">
        <v>46311</v>
      </c>
      <c r="D57" s="27">
        <v>3.8856420000000003E-2</v>
      </c>
      <c r="E57" s="24">
        <f t="shared" si="1"/>
        <v>0.27671232876712326</v>
      </c>
      <c r="F57" s="3">
        <v>46210.665972222225</v>
      </c>
      <c r="G57" s="11">
        <v>360</v>
      </c>
      <c r="H57" s="10">
        <v>18.809999999999999</v>
      </c>
      <c r="I57" s="10">
        <v>18.7</v>
      </c>
      <c r="J57" s="10">
        <v>19</v>
      </c>
      <c r="K57" s="10">
        <f t="shared" si="0"/>
        <v>18.850000000000001</v>
      </c>
      <c r="L57" s="10">
        <v>3.11</v>
      </c>
      <c r="M57" s="5">
        <v>0.1981</v>
      </c>
      <c r="N57" s="10">
        <v>54</v>
      </c>
      <c r="O57" s="4">
        <v>4386</v>
      </c>
      <c r="P57" s="5">
        <v>0.4577</v>
      </c>
    </row>
    <row r="58" spans="1:16" x14ac:dyDescent="0.45">
      <c r="A58" s="2" t="s">
        <v>61</v>
      </c>
      <c r="B58" s="18" t="s">
        <v>150</v>
      </c>
      <c r="C58" s="21">
        <v>46311</v>
      </c>
      <c r="D58" s="27">
        <v>3.8856420000000003E-2</v>
      </c>
      <c r="E58" s="24">
        <f t="shared" si="1"/>
        <v>0.27671232876712326</v>
      </c>
      <c r="F58" s="3">
        <v>46210.664583333331</v>
      </c>
      <c r="G58" s="11">
        <v>365</v>
      </c>
      <c r="H58" s="10">
        <v>20.45</v>
      </c>
      <c r="I58" s="10">
        <v>20.399999999999999</v>
      </c>
      <c r="J58" s="10">
        <v>20.7</v>
      </c>
      <c r="K58" s="10">
        <f t="shared" si="0"/>
        <v>20.549999999999997</v>
      </c>
      <c r="L58" s="10">
        <v>3.51</v>
      </c>
      <c r="M58" s="5">
        <v>0.2072</v>
      </c>
      <c r="N58" s="10">
        <v>33</v>
      </c>
      <c r="O58" s="4">
        <v>1079</v>
      </c>
      <c r="P58" s="5">
        <v>0.45540000000000003</v>
      </c>
    </row>
    <row r="59" spans="1:16" x14ac:dyDescent="0.45">
      <c r="A59" s="2" t="s">
        <v>62</v>
      </c>
      <c r="B59" s="18" t="s">
        <v>150</v>
      </c>
      <c r="C59" s="21">
        <v>46311</v>
      </c>
      <c r="D59" s="27">
        <v>3.8856420000000003E-2</v>
      </c>
      <c r="E59" s="24">
        <f t="shared" si="1"/>
        <v>0.27671232876712326</v>
      </c>
      <c r="F59" s="3">
        <v>46210.660416666666</v>
      </c>
      <c r="G59" s="11">
        <v>370</v>
      </c>
      <c r="H59" s="10">
        <v>21.72</v>
      </c>
      <c r="I59" s="10">
        <v>22.2</v>
      </c>
      <c r="J59" s="10">
        <v>22.5</v>
      </c>
      <c r="K59" s="10">
        <f t="shared" si="0"/>
        <v>22.35</v>
      </c>
      <c r="L59" s="10">
        <v>3.45</v>
      </c>
      <c r="M59" s="5">
        <v>0.1888</v>
      </c>
      <c r="N59" s="10">
        <v>34</v>
      </c>
      <c r="O59" s="4">
        <v>1686</v>
      </c>
      <c r="P59" s="5">
        <v>0.45300000000000001</v>
      </c>
    </row>
    <row r="60" spans="1:16" x14ac:dyDescent="0.45">
      <c r="A60" s="2" t="s">
        <v>63</v>
      </c>
      <c r="B60" s="18" t="s">
        <v>150</v>
      </c>
      <c r="C60" s="21">
        <v>46311</v>
      </c>
      <c r="D60" s="27">
        <v>3.8856420000000003E-2</v>
      </c>
      <c r="E60" s="24">
        <f t="shared" si="1"/>
        <v>0.27671232876712326</v>
      </c>
      <c r="F60" s="3">
        <v>46210.645833333336</v>
      </c>
      <c r="G60" s="11">
        <v>375</v>
      </c>
      <c r="H60" s="10">
        <v>24.08</v>
      </c>
      <c r="I60" s="10">
        <v>24.1</v>
      </c>
      <c r="J60" s="10">
        <v>24.4</v>
      </c>
      <c r="K60" s="10">
        <f t="shared" si="0"/>
        <v>24.25</v>
      </c>
      <c r="L60" s="10">
        <v>4.28</v>
      </c>
      <c r="M60" s="5">
        <v>0.2162</v>
      </c>
      <c r="N60" s="10">
        <v>23</v>
      </c>
      <c r="O60" s="4">
        <v>482</v>
      </c>
      <c r="P60" s="5">
        <v>0.4506</v>
      </c>
    </row>
    <row r="61" spans="1:16" x14ac:dyDescent="0.45">
      <c r="A61" s="2" t="s">
        <v>64</v>
      </c>
      <c r="B61" s="18" t="s">
        <v>150</v>
      </c>
      <c r="C61" s="21">
        <v>46311</v>
      </c>
      <c r="D61" s="27">
        <v>3.8856420000000003E-2</v>
      </c>
      <c r="E61" s="24">
        <f t="shared" si="1"/>
        <v>0.27671232876712326</v>
      </c>
      <c r="F61" s="3">
        <v>46210.662499999999</v>
      </c>
      <c r="G61" s="11">
        <v>380</v>
      </c>
      <c r="H61" s="10">
        <v>25.85</v>
      </c>
      <c r="I61" s="10">
        <v>26.15</v>
      </c>
      <c r="J61" s="10">
        <v>26.45</v>
      </c>
      <c r="K61" s="10">
        <f t="shared" si="0"/>
        <v>26.299999999999997</v>
      </c>
      <c r="L61" s="10">
        <v>4.28</v>
      </c>
      <c r="M61" s="5">
        <v>0.19839999999999999</v>
      </c>
      <c r="N61" s="10">
        <v>79</v>
      </c>
      <c r="O61" s="4">
        <v>1461</v>
      </c>
      <c r="P61" s="5">
        <v>0.44879999999999998</v>
      </c>
    </row>
    <row r="62" spans="1:16" x14ac:dyDescent="0.45">
      <c r="A62" s="2" t="s">
        <v>65</v>
      </c>
      <c r="B62" s="18" t="s">
        <v>150</v>
      </c>
      <c r="C62" s="21">
        <v>46311</v>
      </c>
      <c r="D62" s="27">
        <v>3.8856420000000003E-2</v>
      </c>
      <c r="E62" s="24">
        <f t="shared" si="1"/>
        <v>0.27671232876712326</v>
      </c>
      <c r="F62" s="3">
        <v>46210.660416666666</v>
      </c>
      <c r="G62" s="11">
        <v>385</v>
      </c>
      <c r="H62" s="10">
        <v>27.66</v>
      </c>
      <c r="I62" s="10">
        <v>28.3</v>
      </c>
      <c r="J62" s="10">
        <v>28.6</v>
      </c>
      <c r="K62" s="10">
        <f t="shared" si="0"/>
        <v>28.450000000000003</v>
      </c>
      <c r="L62" s="10">
        <v>3.99</v>
      </c>
      <c r="M62" s="5">
        <v>0.1686</v>
      </c>
      <c r="N62" s="10">
        <v>19</v>
      </c>
      <c r="O62" s="4">
        <v>968</v>
      </c>
      <c r="P62" s="5">
        <v>0.44700000000000001</v>
      </c>
    </row>
    <row r="63" spans="1:16" x14ac:dyDescent="0.45">
      <c r="A63" s="2" t="s">
        <v>66</v>
      </c>
      <c r="B63" s="18" t="s">
        <v>150</v>
      </c>
      <c r="C63" s="21">
        <v>46311</v>
      </c>
      <c r="D63" s="27">
        <v>3.8856420000000003E-2</v>
      </c>
      <c r="E63" s="24">
        <f t="shared" si="1"/>
        <v>0.27671232876712326</v>
      </c>
      <c r="F63" s="3">
        <v>46210.665972222225</v>
      </c>
      <c r="G63" s="11">
        <v>390</v>
      </c>
      <c r="H63" s="10">
        <v>30.75</v>
      </c>
      <c r="I63" s="10">
        <v>30.55</v>
      </c>
      <c r="J63" s="10">
        <v>30.9</v>
      </c>
      <c r="K63" s="10">
        <f t="shared" si="0"/>
        <v>30.725000000000001</v>
      </c>
      <c r="L63" s="10">
        <v>5.93</v>
      </c>
      <c r="M63" s="5">
        <v>0.2389</v>
      </c>
      <c r="N63" s="10">
        <v>31</v>
      </c>
      <c r="O63" s="4">
        <v>1205</v>
      </c>
      <c r="P63" s="5">
        <v>0.44569999999999999</v>
      </c>
    </row>
    <row r="64" spans="1:16" x14ac:dyDescent="0.45">
      <c r="A64" s="2" t="s">
        <v>67</v>
      </c>
      <c r="B64" s="18" t="s">
        <v>150</v>
      </c>
      <c r="C64" s="21">
        <v>46311</v>
      </c>
      <c r="D64" s="27">
        <v>3.8856420000000003E-2</v>
      </c>
      <c r="E64" s="24">
        <f t="shared" si="1"/>
        <v>0.27671232876712326</v>
      </c>
      <c r="F64" s="3">
        <v>46210.645138888889</v>
      </c>
      <c r="G64" s="11">
        <v>395</v>
      </c>
      <c r="H64" s="10">
        <v>33.020000000000003</v>
      </c>
      <c r="I64" s="10">
        <v>32.85</v>
      </c>
      <c r="J64" s="10">
        <v>33.25</v>
      </c>
      <c r="K64" s="10">
        <f t="shared" si="0"/>
        <v>33.049999999999997</v>
      </c>
      <c r="L64" s="10">
        <v>5.26</v>
      </c>
      <c r="M64" s="5">
        <v>0.1895</v>
      </c>
      <c r="N64" s="10">
        <v>25</v>
      </c>
      <c r="O64" s="4">
        <v>473</v>
      </c>
      <c r="P64" s="5">
        <v>0.44379999999999997</v>
      </c>
    </row>
    <row r="65" spans="1:16" x14ac:dyDescent="0.45">
      <c r="A65" s="2" t="s">
        <v>68</v>
      </c>
      <c r="B65" s="18" t="s">
        <v>150</v>
      </c>
      <c r="C65" s="21">
        <v>46311</v>
      </c>
      <c r="D65" s="27">
        <v>3.8856420000000003E-2</v>
      </c>
      <c r="E65" s="24">
        <f t="shared" si="1"/>
        <v>0.27671232876712326</v>
      </c>
      <c r="F65" s="3">
        <v>46210.665972222225</v>
      </c>
      <c r="G65" s="11">
        <v>400</v>
      </c>
      <c r="H65" s="10">
        <v>35.56</v>
      </c>
      <c r="I65" s="10">
        <v>35.4</v>
      </c>
      <c r="J65" s="10">
        <v>35.75</v>
      </c>
      <c r="K65" s="10">
        <f t="shared" si="0"/>
        <v>35.575000000000003</v>
      </c>
      <c r="L65" s="10">
        <v>6.61</v>
      </c>
      <c r="M65" s="5">
        <v>0.2283</v>
      </c>
      <c r="N65" s="10">
        <v>144</v>
      </c>
      <c r="O65" s="4">
        <v>4528</v>
      </c>
      <c r="P65" s="5">
        <v>0.44240000000000002</v>
      </c>
    </row>
    <row r="66" spans="1:16" x14ac:dyDescent="0.45">
      <c r="A66" s="9" t="s">
        <v>69</v>
      </c>
      <c r="B66" s="20" t="s">
        <v>149</v>
      </c>
      <c r="C66" s="22">
        <v>46402</v>
      </c>
      <c r="D66" s="28">
        <v>3.9936439999999997E-2</v>
      </c>
      <c r="E66" s="24">
        <f t="shared" si="1"/>
        <v>0.52602739726027392</v>
      </c>
      <c r="F66" s="3">
        <v>46210.65347222222</v>
      </c>
      <c r="G66" s="13">
        <v>410</v>
      </c>
      <c r="H66" s="10">
        <v>56.9</v>
      </c>
      <c r="I66" s="10">
        <v>56.5</v>
      </c>
      <c r="J66" s="10">
        <v>56.95</v>
      </c>
      <c r="K66" s="10">
        <f t="shared" si="0"/>
        <v>56.725000000000001</v>
      </c>
      <c r="L66" s="10">
        <v>-9.8000000000000007</v>
      </c>
      <c r="M66" s="5">
        <v>-0.1469</v>
      </c>
      <c r="N66" s="10">
        <v>85</v>
      </c>
      <c r="O66" s="4">
        <v>3758</v>
      </c>
      <c r="P66" s="5">
        <v>0.51490000000000002</v>
      </c>
    </row>
    <row r="67" spans="1:16" x14ac:dyDescent="0.45">
      <c r="A67" s="9" t="s">
        <v>70</v>
      </c>
      <c r="B67" s="20" t="s">
        <v>149</v>
      </c>
      <c r="C67" s="22">
        <v>46402</v>
      </c>
      <c r="D67" s="28">
        <v>3.9936439999999997E-2</v>
      </c>
      <c r="E67" s="24">
        <f t="shared" si="1"/>
        <v>0.52602739726027392</v>
      </c>
      <c r="F67" s="3">
        <v>46210.665972222225</v>
      </c>
      <c r="G67" s="13">
        <v>420</v>
      </c>
      <c r="H67" s="10">
        <v>52.55</v>
      </c>
      <c r="I67" s="10">
        <v>52.3</v>
      </c>
      <c r="J67" s="10">
        <v>52.7</v>
      </c>
      <c r="K67" s="10">
        <f t="shared" si="0"/>
        <v>52.5</v>
      </c>
      <c r="L67" s="10">
        <v>-9.4</v>
      </c>
      <c r="M67" s="5">
        <v>-0.1517</v>
      </c>
      <c r="N67" s="10">
        <v>157</v>
      </c>
      <c r="O67" s="4">
        <v>7193</v>
      </c>
      <c r="P67" s="5">
        <v>0.51249999999999996</v>
      </c>
    </row>
    <row r="68" spans="1:16" x14ac:dyDescent="0.45">
      <c r="A68" s="9" t="s">
        <v>71</v>
      </c>
      <c r="B68" s="20" t="s">
        <v>149</v>
      </c>
      <c r="C68" s="22">
        <v>46402</v>
      </c>
      <c r="D68" s="28">
        <v>3.9936439999999997E-2</v>
      </c>
      <c r="E68" s="24">
        <f t="shared" si="1"/>
        <v>0.52602739726027392</v>
      </c>
      <c r="F68" s="3">
        <v>46210.665972222225</v>
      </c>
      <c r="G68" s="13">
        <v>430</v>
      </c>
      <c r="H68" s="10">
        <v>48.5</v>
      </c>
      <c r="I68" s="10">
        <v>48.4</v>
      </c>
      <c r="J68" s="10">
        <v>48.8</v>
      </c>
      <c r="K68" s="10">
        <f t="shared" ref="K68:K131" si="2">(I68+J68)/2</f>
        <v>48.599999999999994</v>
      </c>
      <c r="L68" s="10">
        <v>-8.9499999999999993</v>
      </c>
      <c r="M68" s="5">
        <v>-0.15579999999999999</v>
      </c>
      <c r="N68" s="10">
        <v>37</v>
      </c>
      <c r="O68" s="4">
        <v>4068</v>
      </c>
      <c r="P68" s="5">
        <v>0.51090000000000002</v>
      </c>
    </row>
    <row r="69" spans="1:16" x14ac:dyDescent="0.45">
      <c r="A69" s="9" t="s">
        <v>72</v>
      </c>
      <c r="B69" s="20" t="s">
        <v>149</v>
      </c>
      <c r="C69" s="22">
        <v>46402</v>
      </c>
      <c r="D69" s="28">
        <v>3.9936439999999997E-2</v>
      </c>
      <c r="E69" s="24">
        <f t="shared" si="1"/>
        <v>0.52602739726027392</v>
      </c>
      <c r="F69" s="3">
        <v>46210.625694444447</v>
      </c>
      <c r="G69" s="13">
        <v>440</v>
      </c>
      <c r="H69" s="10">
        <v>45</v>
      </c>
      <c r="I69" s="10">
        <v>44.75</v>
      </c>
      <c r="J69" s="10">
        <v>45.15</v>
      </c>
      <c r="K69" s="10">
        <f t="shared" si="2"/>
        <v>44.95</v>
      </c>
      <c r="L69" s="10">
        <v>-8.4</v>
      </c>
      <c r="M69" s="5">
        <v>-0.1573</v>
      </c>
      <c r="N69" s="10">
        <v>38</v>
      </c>
      <c r="O69" s="4">
        <v>7035</v>
      </c>
      <c r="P69" s="5">
        <v>0.50939999999999996</v>
      </c>
    </row>
    <row r="70" spans="1:16" x14ac:dyDescent="0.45">
      <c r="A70" s="9" t="s">
        <v>73</v>
      </c>
      <c r="B70" s="20" t="s">
        <v>149</v>
      </c>
      <c r="C70" s="22">
        <v>46402</v>
      </c>
      <c r="D70" s="28">
        <v>3.9936439999999997E-2</v>
      </c>
      <c r="E70" s="24">
        <f t="shared" ref="E70:E133" si="3">(C70-DATE(2026,7,7))/365</f>
        <v>0.52602739726027392</v>
      </c>
      <c r="F70" s="3">
        <v>46210.665972222225</v>
      </c>
      <c r="G70" s="13">
        <v>450</v>
      </c>
      <c r="H70" s="10">
        <v>41.56</v>
      </c>
      <c r="I70" s="10">
        <v>41.4</v>
      </c>
      <c r="J70" s="10">
        <v>41.75</v>
      </c>
      <c r="K70" s="10">
        <f t="shared" si="2"/>
        <v>41.575000000000003</v>
      </c>
      <c r="L70" s="10">
        <v>-7.94</v>
      </c>
      <c r="M70" s="5">
        <v>-0.16039999999999999</v>
      </c>
      <c r="N70" s="10">
        <v>357</v>
      </c>
      <c r="O70" s="4">
        <v>12361</v>
      </c>
      <c r="P70" s="5">
        <v>0.50829999999999997</v>
      </c>
    </row>
    <row r="71" spans="1:16" x14ac:dyDescent="0.45">
      <c r="A71" s="9" t="s">
        <v>74</v>
      </c>
      <c r="B71" s="20" t="s">
        <v>149</v>
      </c>
      <c r="C71" s="22">
        <v>46402</v>
      </c>
      <c r="D71" s="28">
        <v>3.9936439999999997E-2</v>
      </c>
      <c r="E71" s="24">
        <f t="shared" si="3"/>
        <v>0.52602739726027392</v>
      </c>
      <c r="F71" s="3">
        <v>46210.661111111112</v>
      </c>
      <c r="G71" s="13">
        <v>460</v>
      </c>
      <c r="H71" s="10">
        <v>39.17</v>
      </c>
      <c r="I71" s="10">
        <v>38.25</v>
      </c>
      <c r="J71" s="10">
        <v>38.6</v>
      </c>
      <c r="K71" s="10">
        <f t="shared" si="2"/>
        <v>38.424999999999997</v>
      </c>
      <c r="L71" s="10">
        <v>-6.78</v>
      </c>
      <c r="M71" s="5">
        <v>-0.14760000000000001</v>
      </c>
      <c r="N71" s="10">
        <v>93</v>
      </c>
      <c r="O71" s="4">
        <v>5369</v>
      </c>
      <c r="P71" s="5">
        <v>0.50729999999999997</v>
      </c>
    </row>
    <row r="72" spans="1:16" x14ac:dyDescent="0.45">
      <c r="A72" s="9" t="s">
        <v>75</v>
      </c>
      <c r="B72" s="20" t="s">
        <v>149</v>
      </c>
      <c r="C72" s="22">
        <v>46402</v>
      </c>
      <c r="D72" s="28">
        <v>3.9936439999999997E-2</v>
      </c>
      <c r="E72" s="24">
        <f t="shared" si="3"/>
        <v>0.52602739726027392</v>
      </c>
      <c r="F72" s="3">
        <v>46210.626388888886</v>
      </c>
      <c r="G72" s="13">
        <v>470</v>
      </c>
      <c r="H72" s="10">
        <v>35.65</v>
      </c>
      <c r="I72" s="10">
        <v>35.35</v>
      </c>
      <c r="J72" s="10">
        <v>35.75</v>
      </c>
      <c r="K72" s="10">
        <f t="shared" si="2"/>
        <v>35.549999999999997</v>
      </c>
      <c r="L72" s="10">
        <v>-5.7</v>
      </c>
      <c r="M72" s="5">
        <v>-0.13780000000000001</v>
      </c>
      <c r="N72" s="10">
        <v>18</v>
      </c>
      <c r="O72" s="4">
        <v>2781</v>
      </c>
      <c r="P72" s="5">
        <v>0.50700000000000001</v>
      </c>
    </row>
    <row r="73" spans="1:16" x14ac:dyDescent="0.45">
      <c r="A73" s="9" t="s">
        <v>76</v>
      </c>
      <c r="B73" s="20" t="s">
        <v>149</v>
      </c>
      <c r="C73" s="22">
        <v>46402</v>
      </c>
      <c r="D73" s="28">
        <v>3.9936439999999997E-2</v>
      </c>
      <c r="E73" s="24">
        <f t="shared" si="3"/>
        <v>0.52602739726027392</v>
      </c>
      <c r="F73" s="3">
        <v>46210.651388888888</v>
      </c>
      <c r="G73" s="13">
        <v>480</v>
      </c>
      <c r="H73" s="10">
        <v>33</v>
      </c>
      <c r="I73" s="10">
        <v>32.700000000000003</v>
      </c>
      <c r="J73" s="10">
        <v>33.049999999999997</v>
      </c>
      <c r="K73" s="10">
        <f t="shared" si="2"/>
        <v>32.875</v>
      </c>
      <c r="L73" s="10">
        <v>-4.2</v>
      </c>
      <c r="M73" s="5">
        <v>-0.1129</v>
      </c>
      <c r="N73" s="10">
        <v>23</v>
      </c>
      <c r="O73" s="4">
        <v>4201</v>
      </c>
      <c r="P73" s="5">
        <v>0.50660000000000005</v>
      </c>
    </row>
    <row r="74" spans="1:16" x14ac:dyDescent="0.45">
      <c r="A74" s="2" t="s">
        <v>77</v>
      </c>
      <c r="B74" s="18" t="s">
        <v>150</v>
      </c>
      <c r="C74" s="22">
        <v>46402</v>
      </c>
      <c r="D74" s="28">
        <v>3.9936439999999997E-2</v>
      </c>
      <c r="E74" s="24">
        <f t="shared" si="3"/>
        <v>0.52602739726027392</v>
      </c>
      <c r="F74" s="3">
        <v>46210.631249999999</v>
      </c>
      <c r="G74" s="11">
        <v>330</v>
      </c>
      <c r="H74" s="10">
        <v>20.85</v>
      </c>
      <c r="I74" s="10">
        <v>20.6</v>
      </c>
      <c r="J74" s="10">
        <v>20.85</v>
      </c>
      <c r="K74" s="10">
        <f t="shared" si="2"/>
        <v>20.725000000000001</v>
      </c>
      <c r="L74" s="10">
        <v>2.88</v>
      </c>
      <c r="M74" s="5">
        <v>0.1603</v>
      </c>
      <c r="N74" s="10">
        <v>20</v>
      </c>
      <c r="O74" s="4">
        <v>6969</v>
      </c>
      <c r="P74" s="5">
        <v>0.46500000000000002</v>
      </c>
    </row>
    <row r="75" spans="1:16" x14ac:dyDescent="0.45">
      <c r="A75" s="2" t="s">
        <v>78</v>
      </c>
      <c r="B75" s="18" t="s">
        <v>150</v>
      </c>
      <c r="C75" s="22">
        <v>46402</v>
      </c>
      <c r="D75" s="28">
        <v>3.9936439999999997E-2</v>
      </c>
      <c r="E75" s="24">
        <f t="shared" si="3"/>
        <v>0.52602739726027392</v>
      </c>
      <c r="F75" s="3">
        <v>46210.648611111108</v>
      </c>
      <c r="G75" s="11">
        <v>340</v>
      </c>
      <c r="H75" s="10">
        <v>23.9</v>
      </c>
      <c r="I75" s="10">
        <v>23.7</v>
      </c>
      <c r="J75" s="10">
        <v>23.95</v>
      </c>
      <c r="K75" s="10">
        <f t="shared" si="2"/>
        <v>23.824999999999999</v>
      </c>
      <c r="L75" s="10">
        <v>2.9</v>
      </c>
      <c r="M75" s="5">
        <v>0.1381</v>
      </c>
      <c r="N75" s="10">
        <v>104</v>
      </c>
      <c r="O75" s="4">
        <v>3557</v>
      </c>
      <c r="P75" s="5">
        <v>0.46039999999999998</v>
      </c>
    </row>
    <row r="76" spans="1:16" x14ac:dyDescent="0.45">
      <c r="A76" s="2" t="s">
        <v>79</v>
      </c>
      <c r="B76" s="18" t="s">
        <v>150</v>
      </c>
      <c r="C76" s="22">
        <v>46402</v>
      </c>
      <c r="D76" s="28">
        <v>3.9936439999999997E-2</v>
      </c>
      <c r="E76" s="24">
        <f t="shared" si="3"/>
        <v>0.52602739726027392</v>
      </c>
      <c r="F76" s="3">
        <v>46210.663888888892</v>
      </c>
      <c r="G76" s="11">
        <v>350</v>
      </c>
      <c r="H76" s="10">
        <v>27.15</v>
      </c>
      <c r="I76" s="10">
        <v>27.1</v>
      </c>
      <c r="J76" s="10">
        <v>27.4</v>
      </c>
      <c r="K76" s="10">
        <f t="shared" si="2"/>
        <v>27.25</v>
      </c>
      <c r="L76" s="10">
        <v>3.38</v>
      </c>
      <c r="M76" s="5">
        <v>0.14219999999999999</v>
      </c>
      <c r="N76" s="10">
        <v>128</v>
      </c>
      <c r="O76" s="4">
        <v>10334</v>
      </c>
      <c r="P76" s="5">
        <v>0.45650000000000002</v>
      </c>
    </row>
    <row r="77" spans="1:16" x14ac:dyDescent="0.45">
      <c r="A77" s="2" t="s">
        <v>80</v>
      </c>
      <c r="B77" s="18" t="s">
        <v>150</v>
      </c>
      <c r="C77" s="22">
        <v>46402</v>
      </c>
      <c r="D77" s="28">
        <v>3.9936439999999997E-2</v>
      </c>
      <c r="E77" s="24">
        <f t="shared" si="3"/>
        <v>0.52602739726027392</v>
      </c>
      <c r="F77" s="3">
        <v>46210.65</v>
      </c>
      <c r="G77" s="11">
        <v>360</v>
      </c>
      <c r="H77" s="10">
        <v>31</v>
      </c>
      <c r="I77" s="10">
        <v>30.85</v>
      </c>
      <c r="J77" s="10">
        <v>31.15</v>
      </c>
      <c r="K77" s="10">
        <f t="shared" si="2"/>
        <v>31</v>
      </c>
      <c r="L77" s="10">
        <v>3.69</v>
      </c>
      <c r="M77" s="5">
        <v>0.1351</v>
      </c>
      <c r="N77" s="10">
        <v>28</v>
      </c>
      <c r="O77" s="4">
        <v>929</v>
      </c>
      <c r="P77" s="5">
        <v>0.45269999999999999</v>
      </c>
    </row>
    <row r="78" spans="1:16" x14ac:dyDescent="0.45">
      <c r="A78" s="2" t="s">
        <v>81</v>
      </c>
      <c r="B78" s="18" t="s">
        <v>150</v>
      </c>
      <c r="C78" s="22">
        <v>46402</v>
      </c>
      <c r="D78" s="28">
        <v>3.9936439999999997E-2</v>
      </c>
      <c r="E78" s="24">
        <f t="shared" si="3"/>
        <v>0.52602739726027392</v>
      </c>
      <c r="F78" s="3">
        <v>46210.625694444447</v>
      </c>
      <c r="G78" s="11">
        <v>370</v>
      </c>
      <c r="H78" s="10">
        <v>35</v>
      </c>
      <c r="I78" s="10">
        <v>34.950000000000003</v>
      </c>
      <c r="J78" s="10">
        <v>35.200000000000003</v>
      </c>
      <c r="K78" s="10">
        <f t="shared" si="2"/>
        <v>35.075000000000003</v>
      </c>
      <c r="L78" s="10">
        <v>4.75</v>
      </c>
      <c r="M78" s="5">
        <v>0.157</v>
      </c>
      <c r="N78" s="10">
        <v>25</v>
      </c>
      <c r="O78" s="4">
        <v>3298</v>
      </c>
      <c r="P78" s="5">
        <v>0.44890000000000002</v>
      </c>
    </row>
    <row r="79" spans="1:16" x14ac:dyDescent="0.45">
      <c r="A79" s="2" t="s">
        <v>82</v>
      </c>
      <c r="B79" s="18" t="s">
        <v>150</v>
      </c>
      <c r="C79" s="22">
        <v>46402</v>
      </c>
      <c r="D79" s="28">
        <v>3.9936439999999997E-2</v>
      </c>
      <c r="E79" s="24">
        <f t="shared" si="3"/>
        <v>0.52602739726027392</v>
      </c>
      <c r="F79" s="3">
        <v>46210.652777777781</v>
      </c>
      <c r="G79" s="11">
        <v>380</v>
      </c>
      <c r="H79" s="10">
        <v>39.11</v>
      </c>
      <c r="I79" s="10">
        <v>39.35</v>
      </c>
      <c r="J79" s="10">
        <v>39.65</v>
      </c>
      <c r="K79" s="10">
        <f t="shared" si="2"/>
        <v>39.5</v>
      </c>
      <c r="L79" s="10">
        <v>5.0199999999999996</v>
      </c>
      <c r="M79" s="5">
        <v>0.14729999999999999</v>
      </c>
      <c r="N79" s="10">
        <v>166</v>
      </c>
      <c r="O79" s="4">
        <v>59</v>
      </c>
      <c r="P79" s="5">
        <v>0.44600000000000001</v>
      </c>
    </row>
    <row r="80" spans="1:16" x14ac:dyDescent="0.45">
      <c r="A80" s="2" t="s">
        <v>83</v>
      </c>
      <c r="B80" s="18" t="s">
        <v>150</v>
      </c>
      <c r="C80" s="22">
        <v>46402</v>
      </c>
      <c r="D80" s="28">
        <v>3.9936439999999997E-2</v>
      </c>
      <c r="E80" s="24">
        <f t="shared" si="3"/>
        <v>0.52602739726027392</v>
      </c>
      <c r="F80" s="3">
        <v>46210.65625</v>
      </c>
      <c r="G80" s="11">
        <v>390</v>
      </c>
      <c r="H80" s="10">
        <v>44</v>
      </c>
      <c r="I80" s="10">
        <v>44</v>
      </c>
      <c r="J80" s="10">
        <v>44.35</v>
      </c>
      <c r="K80" s="10">
        <f t="shared" si="2"/>
        <v>44.174999999999997</v>
      </c>
      <c r="L80" s="10">
        <v>5.66</v>
      </c>
      <c r="M80" s="5">
        <v>0.14760000000000001</v>
      </c>
      <c r="N80" s="10">
        <v>38</v>
      </c>
      <c r="O80" s="4">
        <v>4122</v>
      </c>
      <c r="P80" s="5">
        <v>0.44259999999999999</v>
      </c>
    </row>
    <row r="81" spans="1:16" x14ac:dyDescent="0.45">
      <c r="A81" s="2" t="s">
        <v>84</v>
      </c>
      <c r="B81" s="18" t="s">
        <v>150</v>
      </c>
      <c r="C81" s="22">
        <v>46402</v>
      </c>
      <c r="D81" s="28">
        <v>3.9936439999999997E-2</v>
      </c>
      <c r="E81" s="24">
        <f t="shared" si="3"/>
        <v>0.52602739726027392</v>
      </c>
      <c r="F81" s="3">
        <v>46210.665972222225</v>
      </c>
      <c r="G81" s="11">
        <v>400</v>
      </c>
      <c r="H81" s="10">
        <v>49.3</v>
      </c>
      <c r="I81" s="10">
        <v>49.05</v>
      </c>
      <c r="J81" s="10">
        <v>49.4</v>
      </c>
      <c r="K81" s="10">
        <f t="shared" si="2"/>
        <v>49.224999999999994</v>
      </c>
      <c r="L81" s="10">
        <v>6.3</v>
      </c>
      <c r="M81" s="5">
        <v>0.14649999999999999</v>
      </c>
      <c r="N81" s="10">
        <v>27</v>
      </c>
      <c r="O81" s="4">
        <v>10575</v>
      </c>
      <c r="P81" s="5">
        <v>0.43959999999999999</v>
      </c>
    </row>
    <row r="82" spans="1:16" x14ac:dyDescent="0.45">
      <c r="A82" s="9" t="s">
        <v>85</v>
      </c>
      <c r="B82" s="20" t="s">
        <v>149</v>
      </c>
      <c r="C82" s="22">
        <v>46465</v>
      </c>
      <c r="D82" s="28">
        <v>4.0178079999999998E-2</v>
      </c>
      <c r="E82" s="24">
        <f t="shared" si="3"/>
        <v>0.69863013698630139</v>
      </c>
      <c r="F82" s="3">
        <v>46210.637499999997</v>
      </c>
      <c r="G82" s="13">
        <v>410</v>
      </c>
      <c r="H82" s="10">
        <v>66.900000000000006</v>
      </c>
      <c r="I82" s="10">
        <v>67.25</v>
      </c>
      <c r="J82" s="10">
        <v>67.75</v>
      </c>
      <c r="K82" s="10">
        <f t="shared" si="2"/>
        <v>67.5</v>
      </c>
      <c r="L82" s="10">
        <v>-10.6</v>
      </c>
      <c r="M82" s="5">
        <v>-0.1368</v>
      </c>
      <c r="N82" s="10">
        <v>20</v>
      </c>
      <c r="O82" s="4">
        <v>1742</v>
      </c>
      <c r="P82" s="5">
        <v>0.52800000000000002</v>
      </c>
    </row>
    <row r="83" spans="1:16" x14ac:dyDescent="0.45">
      <c r="A83" s="9" t="s">
        <v>86</v>
      </c>
      <c r="B83" s="20" t="s">
        <v>149</v>
      </c>
      <c r="C83" s="22">
        <v>46465</v>
      </c>
      <c r="D83" s="28">
        <v>4.0178079999999998E-2</v>
      </c>
      <c r="E83" s="24">
        <f t="shared" si="3"/>
        <v>0.69863013698630139</v>
      </c>
      <c r="F83" s="3">
        <v>46210.647222222222</v>
      </c>
      <c r="G83" s="13">
        <v>420</v>
      </c>
      <c r="H83" s="10">
        <v>63.45</v>
      </c>
      <c r="I83" s="10">
        <v>63.1</v>
      </c>
      <c r="J83" s="10">
        <v>63.6</v>
      </c>
      <c r="K83" s="10">
        <f t="shared" si="2"/>
        <v>63.35</v>
      </c>
      <c r="L83" s="10">
        <v>-9.5500000000000007</v>
      </c>
      <c r="M83" s="5">
        <v>-0.1308</v>
      </c>
      <c r="N83" s="10">
        <v>19</v>
      </c>
      <c r="O83" s="4">
        <v>2041</v>
      </c>
      <c r="P83" s="5">
        <v>0.52590000000000003</v>
      </c>
    </row>
    <row r="84" spans="1:16" x14ac:dyDescent="0.45">
      <c r="A84" s="9" t="s">
        <v>87</v>
      </c>
      <c r="B84" s="20" t="s">
        <v>149</v>
      </c>
      <c r="C84" s="22">
        <v>46465</v>
      </c>
      <c r="D84" s="28">
        <v>4.0178079999999998E-2</v>
      </c>
      <c r="E84" s="24">
        <f t="shared" si="3"/>
        <v>0.69863013698630139</v>
      </c>
      <c r="F84" s="3">
        <v>46210.536111111112</v>
      </c>
      <c r="G84" s="13">
        <v>430</v>
      </c>
      <c r="H84" s="10">
        <v>63.5</v>
      </c>
      <c r="I84" s="10">
        <v>59.15</v>
      </c>
      <c r="J84" s="10">
        <v>59.75</v>
      </c>
      <c r="K84" s="10">
        <f t="shared" si="2"/>
        <v>59.45</v>
      </c>
      <c r="L84" s="10">
        <v>-4.5</v>
      </c>
      <c r="M84" s="5">
        <v>-6.6199999999999995E-2</v>
      </c>
      <c r="N84" s="10">
        <v>31</v>
      </c>
      <c r="O84" s="4">
        <v>653</v>
      </c>
      <c r="P84" s="5">
        <v>0.52410000000000001</v>
      </c>
    </row>
    <row r="85" spans="1:16" x14ac:dyDescent="0.45">
      <c r="A85" s="9" t="s">
        <v>88</v>
      </c>
      <c r="B85" s="20" t="s">
        <v>149</v>
      </c>
      <c r="C85" s="22">
        <v>46465</v>
      </c>
      <c r="D85" s="28">
        <v>4.0178079999999998E-2</v>
      </c>
      <c r="E85" s="24">
        <f t="shared" si="3"/>
        <v>0.69863013698630139</v>
      </c>
      <c r="F85" s="3">
        <v>46210.652777777781</v>
      </c>
      <c r="G85" s="13">
        <v>440</v>
      </c>
      <c r="H85" s="10">
        <v>56.05</v>
      </c>
      <c r="I85" s="10">
        <v>55.5</v>
      </c>
      <c r="J85" s="10">
        <v>56.1</v>
      </c>
      <c r="K85" s="10">
        <f t="shared" si="2"/>
        <v>55.8</v>
      </c>
      <c r="L85" s="10">
        <v>-7.01</v>
      </c>
      <c r="M85" s="5">
        <v>-0.11119999999999999</v>
      </c>
      <c r="N85" s="10">
        <v>2</v>
      </c>
      <c r="O85" s="4">
        <v>677</v>
      </c>
      <c r="P85" s="5">
        <v>0.52280000000000004</v>
      </c>
    </row>
    <row r="86" spans="1:16" x14ac:dyDescent="0.45">
      <c r="A86" s="9" t="s">
        <v>89</v>
      </c>
      <c r="B86" s="20" t="s">
        <v>149</v>
      </c>
      <c r="C86" s="22">
        <v>46465</v>
      </c>
      <c r="D86" s="28">
        <v>4.0178079999999998E-2</v>
      </c>
      <c r="E86" s="24">
        <f t="shared" si="3"/>
        <v>0.69863013698630139</v>
      </c>
      <c r="F86" s="3">
        <v>46210.664583333331</v>
      </c>
      <c r="G86" s="13">
        <v>450</v>
      </c>
      <c r="H86" s="10">
        <v>52.35</v>
      </c>
      <c r="I86" s="10">
        <v>52.1</v>
      </c>
      <c r="J86" s="10">
        <v>52.55</v>
      </c>
      <c r="K86" s="10">
        <f t="shared" si="2"/>
        <v>52.325000000000003</v>
      </c>
      <c r="L86" s="10">
        <v>-6.93</v>
      </c>
      <c r="M86" s="5">
        <v>-0.1169</v>
      </c>
      <c r="N86" s="10">
        <v>83</v>
      </c>
      <c r="O86" s="4">
        <v>1698</v>
      </c>
      <c r="P86" s="5">
        <v>0.52129999999999999</v>
      </c>
    </row>
    <row r="87" spans="1:16" x14ac:dyDescent="0.45">
      <c r="A87" s="9" t="s">
        <v>90</v>
      </c>
      <c r="B87" s="20" t="s">
        <v>149</v>
      </c>
      <c r="C87" s="22">
        <v>46465</v>
      </c>
      <c r="D87" s="28">
        <v>4.0178079999999998E-2</v>
      </c>
      <c r="E87" s="24">
        <f t="shared" si="3"/>
        <v>0.69863013698630139</v>
      </c>
      <c r="F87" s="3">
        <v>46210.634722222225</v>
      </c>
      <c r="G87" s="13">
        <v>460</v>
      </c>
      <c r="H87" s="10">
        <v>48.95</v>
      </c>
      <c r="I87" s="10">
        <v>48.9</v>
      </c>
      <c r="J87" s="10">
        <v>49.4</v>
      </c>
      <c r="K87" s="10">
        <f t="shared" si="2"/>
        <v>49.15</v>
      </c>
      <c r="L87" s="10">
        <v>-5.85</v>
      </c>
      <c r="M87" s="5">
        <v>-0.10680000000000001</v>
      </c>
      <c r="N87" s="10">
        <v>14</v>
      </c>
      <c r="O87" s="4">
        <v>1044</v>
      </c>
      <c r="P87" s="5">
        <v>0.52070000000000005</v>
      </c>
    </row>
    <row r="88" spans="1:16" x14ac:dyDescent="0.45">
      <c r="A88" s="9" t="s">
        <v>91</v>
      </c>
      <c r="B88" s="20" t="s">
        <v>149</v>
      </c>
      <c r="C88" s="22">
        <v>46465</v>
      </c>
      <c r="D88" s="28">
        <v>4.0178079999999998E-2</v>
      </c>
      <c r="E88" s="24">
        <f t="shared" si="3"/>
        <v>0.69863013698630139</v>
      </c>
      <c r="F88" s="3">
        <v>46210.661111111112</v>
      </c>
      <c r="G88" s="13">
        <v>470</v>
      </c>
      <c r="H88" s="10">
        <v>47.1</v>
      </c>
      <c r="I88" s="10">
        <v>45.85</v>
      </c>
      <c r="J88" s="10">
        <v>46.3</v>
      </c>
      <c r="K88" s="10">
        <f t="shared" si="2"/>
        <v>46.075000000000003</v>
      </c>
      <c r="L88" s="10">
        <v>-5.2</v>
      </c>
      <c r="M88" s="5">
        <v>-9.9400000000000002E-2</v>
      </c>
      <c r="N88" s="10">
        <v>6</v>
      </c>
      <c r="O88" s="4">
        <v>1009</v>
      </c>
      <c r="P88" s="5">
        <v>0.51959999999999995</v>
      </c>
    </row>
    <row r="89" spans="1:16" x14ac:dyDescent="0.45">
      <c r="A89" s="9" t="s">
        <v>92</v>
      </c>
      <c r="B89" s="20" t="s">
        <v>149</v>
      </c>
      <c r="C89" s="22">
        <v>46465</v>
      </c>
      <c r="D89" s="28">
        <v>4.0178079999999998E-2</v>
      </c>
      <c r="E89" s="24">
        <f t="shared" si="3"/>
        <v>0.69863013698630139</v>
      </c>
      <c r="F89" s="3">
        <v>46210.629166666666</v>
      </c>
      <c r="G89" s="13">
        <v>480</v>
      </c>
      <c r="H89" s="10">
        <v>43.55</v>
      </c>
      <c r="I89" s="10">
        <v>43.05</v>
      </c>
      <c r="J89" s="10">
        <v>43.5</v>
      </c>
      <c r="K89" s="10">
        <f t="shared" si="2"/>
        <v>43.274999999999999</v>
      </c>
      <c r="L89" s="10">
        <v>-5.2</v>
      </c>
      <c r="M89" s="5">
        <v>-0.1067</v>
      </c>
      <c r="N89" s="10">
        <v>19</v>
      </c>
      <c r="O89" s="4">
        <v>891</v>
      </c>
      <c r="P89" s="5">
        <v>0.51929999999999998</v>
      </c>
    </row>
    <row r="90" spans="1:16" x14ac:dyDescent="0.45">
      <c r="A90" s="2" t="s">
        <v>93</v>
      </c>
      <c r="B90" s="18" t="s">
        <v>150</v>
      </c>
      <c r="C90" s="22">
        <v>46465</v>
      </c>
      <c r="D90" s="28">
        <v>4.0178079999999998E-2</v>
      </c>
      <c r="E90" s="24">
        <f t="shared" si="3"/>
        <v>0.69863013698630139</v>
      </c>
      <c r="F90" s="3">
        <v>46210.604861111111</v>
      </c>
      <c r="G90" s="11">
        <v>330</v>
      </c>
      <c r="H90" s="10">
        <v>26.12</v>
      </c>
      <c r="I90" s="10">
        <v>26.6</v>
      </c>
      <c r="J90" s="10">
        <v>27.15</v>
      </c>
      <c r="K90" s="10">
        <f t="shared" si="2"/>
        <v>26.875</v>
      </c>
      <c r="L90" s="10">
        <v>2.0099999999999998</v>
      </c>
      <c r="M90" s="5">
        <v>8.3400000000000002E-2</v>
      </c>
      <c r="N90" s="10">
        <v>46</v>
      </c>
      <c r="O90" s="4">
        <v>3904</v>
      </c>
      <c r="P90" s="5">
        <v>0.46479999999999999</v>
      </c>
    </row>
    <row r="91" spans="1:16" x14ac:dyDescent="0.45">
      <c r="A91" s="2" t="s">
        <v>94</v>
      </c>
      <c r="B91" s="18" t="s">
        <v>150</v>
      </c>
      <c r="C91" s="22">
        <v>46465</v>
      </c>
      <c r="D91" s="28">
        <v>4.0178079999999998E-2</v>
      </c>
      <c r="E91" s="24">
        <f t="shared" si="3"/>
        <v>0.69863013698630139</v>
      </c>
      <c r="F91" s="3">
        <v>46210.654166666667</v>
      </c>
      <c r="G91" s="11">
        <v>340</v>
      </c>
      <c r="H91" s="10">
        <v>30.26</v>
      </c>
      <c r="I91" s="10">
        <v>30.15</v>
      </c>
      <c r="J91" s="10">
        <v>30.55</v>
      </c>
      <c r="K91" s="10">
        <f t="shared" si="2"/>
        <v>30.35</v>
      </c>
      <c r="L91" s="10">
        <v>2.81</v>
      </c>
      <c r="M91" s="5">
        <v>0.1024</v>
      </c>
      <c r="N91" s="10">
        <v>78</v>
      </c>
      <c r="O91" s="4">
        <v>357</v>
      </c>
      <c r="P91" s="5">
        <v>0.46029999999999999</v>
      </c>
    </row>
    <row r="92" spans="1:16" x14ac:dyDescent="0.45">
      <c r="A92" s="2" t="s">
        <v>95</v>
      </c>
      <c r="B92" s="18" t="s">
        <v>150</v>
      </c>
      <c r="C92" s="22">
        <v>46465</v>
      </c>
      <c r="D92" s="28">
        <v>4.0178079999999998E-2</v>
      </c>
      <c r="E92" s="24">
        <f t="shared" si="3"/>
        <v>0.69863013698630139</v>
      </c>
      <c r="F92" s="3">
        <v>46210.651388888888</v>
      </c>
      <c r="G92" s="11">
        <v>350</v>
      </c>
      <c r="H92" s="10">
        <v>33.950000000000003</v>
      </c>
      <c r="I92" s="10">
        <v>33.85</v>
      </c>
      <c r="J92" s="10">
        <v>34.299999999999997</v>
      </c>
      <c r="K92" s="10">
        <f t="shared" si="2"/>
        <v>34.075000000000003</v>
      </c>
      <c r="L92" s="10">
        <v>3.45</v>
      </c>
      <c r="M92" s="5">
        <v>0.11310000000000001</v>
      </c>
      <c r="N92" s="10">
        <v>17</v>
      </c>
      <c r="O92" s="4">
        <v>596</v>
      </c>
      <c r="P92" s="5">
        <v>0.45669999999999999</v>
      </c>
    </row>
    <row r="93" spans="1:16" x14ac:dyDescent="0.45">
      <c r="A93" s="2" t="s">
        <v>96</v>
      </c>
      <c r="B93" s="18" t="s">
        <v>150</v>
      </c>
      <c r="C93" s="22">
        <v>46465</v>
      </c>
      <c r="D93" s="28">
        <v>4.0178079999999998E-2</v>
      </c>
      <c r="E93" s="24">
        <f t="shared" si="3"/>
        <v>0.69863013698630139</v>
      </c>
      <c r="F93" s="3">
        <v>46210.637499999997</v>
      </c>
      <c r="G93" s="11">
        <v>360</v>
      </c>
      <c r="H93" s="10">
        <v>38.299999999999997</v>
      </c>
      <c r="I93" s="10">
        <v>38.049999999999997</v>
      </c>
      <c r="J93" s="10">
        <v>38.299999999999997</v>
      </c>
      <c r="K93" s="10">
        <f t="shared" si="2"/>
        <v>38.174999999999997</v>
      </c>
      <c r="L93" s="10">
        <v>4.0999999999999996</v>
      </c>
      <c r="M93" s="5">
        <v>0.11990000000000001</v>
      </c>
      <c r="N93" s="10">
        <v>146</v>
      </c>
      <c r="O93" s="4">
        <v>1645</v>
      </c>
      <c r="P93" s="5">
        <v>0.45300000000000001</v>
      </c>
    </row>
    <row r="94" spans="1:16" x14ac:dyDescent="0.45">
      <c r="A94" s="2" t="s">
        <v>97</v>
      </c>
      <c r="B94" s="18" t="s">
        <v>150</v>
      </c>
      <c r="C94" s="22">
        <v>46465</v>
      </c>
      <c r="D94" s="28">
        <v>4.0178079999999998E-2</v>
      </c>
      <c r="E94" s="24">
        <f t="shared" si="3"/>
        <v>0.69863013698630139</v>
      </c>
      <c r="F94" s="3">
        <v>46210.640277777777</v>
      </c>
      <c r="G94" s="11">
        <v>370</v>
      </c>
      <c r="H94" s="10">
        <v>42.49</v>
      </c>
      <c r="I94" s="10">
        <v>42.25</v>
      </c>
      <c r="J94" s="10">
        <v>42.6</v>
      </c>
      <c r="K94" s="10">
        <f t="shared" si="2"/>
        <v>42.424999999999997</v>
      </c>
      <c r="L94" s="10">
        <v>4.29</v>
      </c>
      <c r="M94" s="5">
        <v>0.1123</v>
      </c>
      <c r="N94" s="10">
        <v>59</v>
      </c>
      <c r="O94" s="4">
        <v>1733</v>
      </c>
      <c r="P94" s="5">
        <v>0.44969999999999999</v>
      </c>
    </row>
    <row r="95" spans="1:16" x14ac:dyDescent="0.45">
      <c r="A95" s="2" t="s">
        <v>98</v>
      </c>
      <c r="B95" s="18" t="s">
        <v>150</v>
      </c>
      <c r="C95" s="22">
        <v>46465</v>
      </c>
      <c r="D95" s="28">
        <v>4.0178079999999998E-2</v>
      </c>
      <c r="E95" s="24">
        <f t="shared" si="3"/>
        <v>0.69863013698630139</v>
      </c>
      <c r="F95" s="3">
        <v>46210.436111111114</v>
      </c>
      <c r="G95" s="11">
        <v>380</v>
      </c>
      <c r="H95" s="10">
        <v>45.32</v>
      </c>
      <c r="I95" s="10">
        <v>46.75</v>
      </c>
      <c r="J95" s="10">
        <v>47.25</v>
      </c>
      <c r="K95" s="10">
        <f t="shared" si="2"/>
        <v>47</v>
      </c>
      <c r="L95" s="10">
        <v>3.09</v>
      </c>
      <c r="M95" s="5">
        <v>7.3200000000000001E-2</v>
      </c>
      <c r="N95" s="10">
        <v>2</v>
      </c>
      <c r="O95" s="4">
        <v>2196</v>
      </c>
      <c r="P95" s="5">
        <v>0.44700000000000001</v>
      </c>
    </row>
    <row r="96" spans="1:16" x14ac:dyDescent="0.45">
      <c r="A96" s="2" t="s">
        <v>99</v>
      </c>
      <c r="B96" s="18" t="s">
        <v>150</v>
      </c>
      <c r="C96" s="22">
        <v>46465</v>
      </c>
      <c r="D96" s="28">
        <v>4.0178079999999998E-2</v>
      </c>
      <c r="E96" s="24">
        <f t="shared" si="3"/>
        <v>0.69863013698630139</v>
      </c>
      <c r="F96" s="3">
        <v>46210.487500000003</v>
      </c>
      <c r="G96" s="11">
        <v>390</v>
      </c>
      <c r="H96" s="10">
        <v>50.89</v>
      </c>
      <c r="I96" s="10">
        <v>51.6</v>
      </c>
      <c r="J96" s="10">
        <v>52.15</v>
      </c>
      <c r="K96" s="10">
        <f t="shared" si="2"/>
        <v>51.875</v>
      </c>
      <c r="L96" s="10">
        <v>4.99</v>
      </c>
      <c r="M96" s="5">
        <v>0.1087</v>
      </c>
      <c r="N96" s="10">
        <v>7</v>
      </c>
      <c r="O96" s="4">
        <v>1823</v>
      </c>
      <c r="P96" s="5">
        <v>0.44419999999999998</v>
      </c>
    </row>
    <row r="97" spans="1:16" x14ac:dyDescent="0.45">
      <c r="A97" s="2" t="s">
        <v>100</v>
      </c>
      <c r="B97" s="18" t="s">
        <v>150</v>
      </c>
      <c r="C97" s="22">
        <v>46465</v>
      </c>
      <c r="D97" s="28">
        <v>4.0178079999999998E-2</v>
      </c>
      <c r="E97" s="24">
        <f t="shared" si="3"/>
        <v>0.69863013698630139</v>
      </c>
      <c r="F97" s="3">
        <v>46210.663194444445</v>
      </c>
      <c r="G97" s="11">
        <v>400</v>
      </c>
      <c r="H97" s="10">
        <v>57.15</v>
      </c>
      <c r="I97" s="10">
        <v>56.85</v>
      </c>
      <c r="J97" s="10">
        <v>57.3</v>
      </c>
      <c r="K97" s="10">
        <f t="shared" si="2"/>
        <v>57.075000000000003</v>
      </c>
      <c r="L97" s="10">
        <v>6.4</v>
      </c>
      <c r="M97" s="5">
        <v>0.12609999999999999</v>
      </c>
      <c r="N97" s="10">
        <v>14</v>
      </c>
      <c r="O97" s="4">
        <v>2461</v>
      </c>
      <c r="P97" s="5">
        <v>0.44140000000000001</v>
      </c>
    </row>
    <row r="98" spans="1:16" x14ac:dyDescent="0.45">
      <c r="A98" s="2" t="s">
        <v>101</v>
      </c>
      <c r="B98" s="18" t="s">
        <v>149</v>
      </c>
      <c r="C98" s="21">
        <v>46555</v>
      </c>
      <c r="D98" s="27">
        <v>4.0523289999999997E-2</v>
      </c>
      <c r="E98" s="24">
        <f t="shared" si="3"/>
        <v>0.9452054794520548</v>
      </c>
      <c r="F98" s="3">
        <v>46210.656944444447</v>
      </c>
      <c r="G98" s="11">
        <v>410</v>
      </c>
      <c r="H98" s="10">
        <v>81.7</v>
      </c>
      <c r="I98" s="10">
        <v>80.8</v>
      </c>
      <c r="J98" s="10">
        <v>82</v>
      </c>
      <c r="K98" s="10">
        <f t="shared" si="2"/>
        <v>81.400000000000006</v>
      </c>
      <c r="L98" s="10">
        <v>-10.3</v>
      </c>
      <c r="M98" s="5">
        <v>-0.112</v>
      </c>
      <c r="N98" s="10">
        <v>45</v>
      </c>
      <c r="O98" s="4">
        <v>1425</v>
      </c>
      <c r="P98" s="5">
        <v>0.54479999999999995</v>
      </c>
    </row>
    <row r="99" spans="1:16" x14ac:dyDescent="0.45">
      <c r="A99" s="2" t="s">
        <v>102</v>
      </c>
      <c r="B99" s="18" t="s">
        <v>149</v>
      </c>
      <c r="C99" s="21">
        <v>46555</v>
      </c>
      <c r="D99" s="27">
        <v>4.0523289999999997E-2</v>
      </c>
      <c r="E99" s="24">
        <f t="shared" si="3"/>
        <v>0.9452054794520548</v>
      </c>
      <c r="F99" s="3">
        <v>46210.661805555559</v>
      </c>
      <c r="G99" s="11">
        <v>420</v>
      </c>
      <c r="H99" s="10">
        <v>78.290000000000006</v>
      </c>
      <c r="I99" s="10">
        <v>77</v>
      </c>
      <c r="J99" s="10">
        <v>77.95</v>
      </c>
      <c r="K99" s="10">
        <f t="shared" si="2"/>
        <v>77.474999999999994</v>
      </c>
      <c r="L99" s="10">
        <v>-9.17</v>
      </c>
      <c r="M99" s="5">
        <v>-0.1048</v>
      </c>
      <c r="N99" s="10">
        <v>172</v>
      </c>
      <c r="O99" s="4">
        <v>315</v>
      </c>
      <c r="P99" s="5">
        <v>0.54359999999999997</v>
      </c>
    </row>
    <row r="100" spans="1:16" x14ac:dyDescent="0.45">
      <c r="A100" s="2" t="s">
        <v>103</v>
      </c>
      <c r="B100" s="18" t="s">
        <v>149</v>
      </c>
      <c r="C100" s="21">
        <v>46555</v>
      </c>
      <c r="D100" s="27">
        <v>4.0523289999999997E-2</v>
      </c>
      <c r="E100" s="24">
        <f t="shared" si="3"/>
        <v>0.9452054794520548</v>
      </c>
      <c r="F100" s="3">
        <v>46210.650694444441</v>
      </c>
      <c r="G100" s="11">
        <v>430</v>
      </c>
      <c r="H100" s="10">
        <v>73.52</v>
      </c>
      <c r="I100" s="10">
        <v>73.05</v>
      </c>
      <c r="J100" s="10">
        <v>74.05</v>
      </c>
      <c r="K100" s="10">
        <f t="shared" si="2"/>
        <v>73.55</v>
      </c>
      <c r="L100" s="10">
        <v>-9.2799999999999994</v>
      </c>
      <c r="M100" s="5">
        <v>-0.11210000000000001</v>
      </c>
      <c r="N100" s="10">
        <v>27</v>
      </c>
      <c r="O100" s="4">
        <v>1732</v>
      </c>
      <c r="P100" s="5">
        <v>0.5413</v>
      </c>
    </row>
    <row r="101" spans="1:16" x14ac:dyDescent="0.45">
      <c r="A101" s="2" t="s">
        <v>104</v>
      </c>
      <c r="B101" s="18" t="s">
        <v>149</v>
      </c>
      <c r="C101" s="21">
        <v>46555</v>
      </c>
      <c r="D101" s="27">
        <v>4.0523289999999997E-2</v>
      </c>
      <c r="E101" s="24">
        <f t="shared" si="3"/>
        <v>0.9452054794520548</v>
      </c>
      <c r="F101" s="3">
        <v>46210.654166666667</v>
      </c>
      <c r="G101" s="11">
        <v>440</v>
      </c>
      <c r="H101" s="10">
        <v>70.040000000000006</v>
      </c>
      <c r="I101" s="10">
        <v>69.400000000000006</v>
      </c>
      <c r="J101" s="10">
        <v>70.400000000000006</v>
      </c>
      <c r="K101" s="10">
        <f t="shared" si="2"/>
        <v>69.900000000000006</v>
      </c>
      <c r="L101" s="10">
        <v>-7.71</v>
      </c>
      <c r="M101" s="5">
        <v>-9.9199999999999997E-2</v>
      </c>
      <c r="N101" s="10">
        <v>53</v>
      </c>
      <c r="O101" s="4">
        <v>2009</v>
      </c>
      <c r="P101" s="5">
        <v>0.53979999999999995</v>
      </c>
    </row>
    <row r="102" spans="1:16" x14ac:dyDescent="0.45">
      <c r="A102" s="2" t="s">
        <v>105</v>
      </c>
      <c r="B102" s="18" t="s">
        <v>149</v>
      </c>
      <c r="C102" s="21">
        <v>46555</v>
      </c>
      <c r="D102" s="27">
        <v>4.0523289999999997E-2</v>
      </c>
      <c r="E102" s="24">
        <f t="shared" si="3"/>
        <v>0.9452054794520548</v>
      </c>
      <c r="F102" s="3">
        <v>46210.660416666666</v>
      </c>
      <c r="G102" s="11">
        <v>450</v>
      </c>
      <c r="H102" s="10">
        <v>66.37</v>
      </c>
      <c r="I102" s="10">
        <v>66</v>
      </c>
      <c r="J102" s="10">
        <v>66.900000000000006</v>
      </c>
      <c r="K102" s="10">
        <f t="shared" si="2"/>
        <v>66.45</v>
      </c>
      <c r="L102" s="10">
        <v>-8.9499999999999993</v>
      </c>
      <c r="M102" s="5">
        <v>-0.1188</v>
      </c>
      <c r="N102" s="10">
        <v>101</v>
      </c>
      <c r="O102" s="4">
        <v>4304</v>
      </c>
      <c r="P102" s="5">
        <v>0.53859999999999997</v>
      </c>
    </row>
    <row r="103" spans="1:16" x14ac:dyDescent="0.45">
      <c r="A103" s="2" t="s">
        <v>106</v>
      </c>
      <c r="B103" s="18" t="s">
        <v>149</v>
      </c>
      <c r="C103" s="21">
        <v>46555</v>
      </c>
      <c r="D103" s="27">
        <v>4.0523289999999997E-2</v>
      </c>
      <c r="E103" s="24">
        <f t="shared" si="3"/>
        <v>0.9452054794520548</v>
      </c>
      <c r="F103" s="3">
        <v>46210.654166666667</v>
      </c>
      <c r="G103" s="11">
        <v>460</v>
      </c>
      <c r="H103" s="10">
        <v>63.33</v>
      </c>
      <c r="I103" s="10">
        <v>62.65</v>
      </c>
      <c r="J103" s="10">
        <v>63.65</v>
      </c>
      <c r="K103" s="10">
        <f t="shared" si="2"/>
        <v>63.15</v>
      </c>
      <c r="L103" s="10">
        <v>-7.12</v>
      </c>
      <c r="M103" s="5">
        <v>-0.1011</v>
      </c>
      <c r="N103" s="10">
        <v>20</v>
      </c>
      <c r="O103" s="4">
        <v>1263</v>
      </c>
      <c r="P103" s="5">
        <v>0.53739999999999999</v>
      </c>
    </row>
    <row r="104" spans="1:16" x14ac:dyDescent="0.45">
      <c r="A104" s="2" t="s">
        <v>107</v>
      </c>
      <c r="B104" s="18" t="s">
        <v>149</v>
      </c>
      <c r="C104" s="21">
        <v>46555</v>
      </c>
      <c r="D104" s="27">
        <v>4.0523289999999997E-2</v>
      </c>
      <c r="E104" s="24">
        <f t="shared" si="3"/>
        <v>0.9452054794520548</v>
      </c>
      <c r="F104" s="3">
        <v>46210.636805555558</v>
      </c>
      <c r="G104" s="11">
        <v>470</v>
      </c>
      <c r="H104" s="10">
        <v>59.7</v>
      </c>
      <c r="I104" s="10">
        <v>59.6</v>
      </c>
      <c r="J104" s="10">
        <v>60.45</v>
      </c>
      <c r="K104" s="10">
        <f t="shared" si="2"/>
        <v>60.025000000000006</v>
      </c>
      <c r="L104" s="10">
        <v>-7.85</v>
      </c>
      <c r="M104" s="5">
        <v>-0.1162</v>
      </c>
      <c r="N104" s="10">
        <v>21</v>
      </c>
      <c r="O104" s="4">
        <v>2038</v>
      </c>
      <c r="P104" s="5">
        <v>0.5363</v>
      </c>
    </row>
    <row r="105" spans="1:16" x14ac:dyDescent="0.45">
      <c r="A105" s="2" t="s">
        <v>108</v>
      </c>
      <c r="B105" s="18" t="s">
        <v>149</v>
      </c>
      <c r="C105" s="21">
        <v>46555</v>
      </c>
      <c r="D105" s="27">
        <v>4.0523289999999997E-2</v>
      </c>
      <c r="E105" s="24">
        <f t="shared" si="3"/>
        <v>0.9452054794520548</v>
      </c>
      <c r="F105" s="3">
        <v>46210.436805555553</v>
      </c>
      <c r="G105" s="11">
        <v>480</v>
      </c>
      <c r="H105" s="10">
        <v>59.7</v>
      </c>
      <c r="I105" s="10">
        <v>56.65</v>
      </c>
      <c r="J105" s="10">
        <v>57.5</v>
      </c>
      <c r="K105" s="10">
        <f t="shared" si="2"/>
        <v>57.075000000000003</v>
      </c>
      <c r="L105" s="10">
        <v>-5.5</v>
      </c>
      <c r="M105" s="5">
        <v>-8.4400000000000003E-2</v>
      </c>
      <c r="N105" s="10">
        <v>10</v>
      </c>
      <c r="O105" s="4">
        <v>2213</v>
      </c>
      <c r="P105" s="5">
        <v>0.53549999999999998</v>
      </c>
    </row>
    <row r="106" spans="1:16" x14ac:dyDescent="0.45">
      <c r="A106" s="2" t="s">
        <v>109</v>
      </c>
      <c r="B106" s="18" t="s">
        <v>150</v>
      </c>
      <c r="C106" s="21">
        <v>46555</v>
      </c>
      <c r="D106" s="27">
        <v>4.0523289999999997E-2</v>
      </c>
      <c r="E106" s="24">
        <f t="shared" si="3"/>
        <v>0.9452054794520548</v>
      </c>
      <c r="F106" s="3">
        <v>46210.646527777775</v>
      </c>
      <c r="G106" s="11">
        <v>330</v>
      </c>
      <c r="H106" s="10">
        <v>34.950000000000003</v>
      </c>
      <c r="I106" s="10">
        <v>34.6</v>
      </c>
      <c r="J106" s="10">
        <v>35.4</v>
      </c>
      <c r="K106" s="10">
        <f t="shared" si="2"/>
        <v>35</v>
      </c>
      <c r="L106" s="10">
        <v>2.65</v>
      </c>
      <c r="M106" s="5">
        <v>8.2000000000000003E-2</v>
      </c>
      <c r="N106" s="10">
        <v>16</v>
      </c>
      <c r="O106" s="4">
        <v>3003</v>
      </c>
      <c r="P106" s="5">
        <v>0.46639999999999998</v>
      </c>
    </row>
    <row r="107" spans="1:16" x14ac:dyDescent="0.45">
      <c r="A107" s="2" t="s">
        <v>110</v>
      </c>
      <c r="B107" s="18" t="s">
        <v>150</v>
      </c>
      <c r="C107" s="21">
        <v>46555</v>
      </c>
      <c r="D107" s="27">
        <v>4.0523289999999997E-2</v>
      </c>
      <c r="E107" s="24">
        <f t="shared" si="3"/>
        <v>0.9452054794520548</v>
      </c>
      <c r="F107" s="3">
        <v>46210.472916666666</v>
      </c>
      <c r="G107" s="11">
        <v>340</v>
      </c>
      <c r="H107" s="10">
        <v>38.299999999999997</v>
      </c>
      <c r="I107" s="10">
        <v>38.4</v>
      </c>
      <c r="J107" s="10">
        <v>39.200000000000003</v>
      </c>
      <c r="K107" s="10">
        <f t="shared" si="2"/>
        <v>38.799999999999997</v>
      </c>
      <c r="L107" s="10">
        <v>2.85</v>
      </c>
      <c r="M107" s="5">
        <v>8.0399999999999999E-2</v>
      </c>
      <c r="N107" s="10">
        <v>1</v>
      </c>
      <c r="O107" s="4">
        <v>2245</v>
      </c>
      <c r="P107" s="5">
        <v>0.4627</v>
      </c>
    </row>
    <row r="108" spans="1:16" x14ac:dyDescent="0.45">
      <c r="A108" s="2" t="s">
        <v>111</v>
      </c>
      <c r="B108" s="18" t="s">
        <v>150</v>
      </c>
      <c r="C108" s="21">
        <v>46555</v>
      </c>
      <c r="D108" s="27">
        <v>4.0523289999999997E-2</v>
      </c>
      <c r="E108" s="24">
        <f t="shared" si="3"/>
        <v>0.9452054794520548</v>
      </c>
      <c r="F108" s="3">
        <v>46210.640277777777</v>
      </c>
      <c r="G108" s="11">
        <v>350</v>
      </c>
      <c r="H108" s="10">
        <v>42.9</v>
      </c>
      <c r="I108" s="10">
        <v>42.5</v>
      </c>
      <c r="J108" s="10">
        <v>43.2</v>
      </c>
      <c r="K108" s="10">
        <f t="shared" si="2"/>
        <v>42.85</v>
      </c>
      <c r="L108" s="10">
        <v>4.05</v>
      </c>
      <c r="M108" s="5">
        <v>0.1042</v>
      </c>
      <c r="N108" s="10">
        <v>13</v>
      </c>
      <c r="O108" s="4">
        <v>5115</v>
      </c>
      <c r="P108" s="5">
        <v>0.45889999999999997</v>
      </c>
    </row>
    <row r="109" spans="1:16" x14ac:dyDescent="0.45">
      <c r="A109" s="2" t="s">
        <v>112</v>
      </c>
      <c r="B109" s="18" t="s">
        <v>150</v>
      </c>
      <c r="C109" s="21">
        <v>46555</v>
      </c>
      <c r="D109" s="27">
        <v>4.0523289999999997E-2</v>
      </c>
      <c r="E109" s="24">
        <f t="shared" si="3"/>
        <v>0.9452054794520548</v>
      </c>
      <c r="F109" s="3">
        <v>46210.659722222219</v>
      </c>
      <c r="G109" s="11">
        <v>360</v>
      </c>
      <c r="H109" s="10">
        <v>46.8</v>
      </c>
      <c r="I109" s="10">
        <v>46.75</v>
      </c>
      <c r="J109" s="10">
        <v>47.55</v>
      </c>
      <c r="K109" s="10">
        <f t="shared" si="2"/>
        <v>47.15</v>
      </c>
      <c r="L109" s="10">
        <v>3.47</v>
      </c>
      <c r="M109" s="5">
        <v>8.0100000000000005E-2</v>
      </c>
      <c r="N109" s="10">
        <v>2</v>
      </c>
      <c r="O109" s="4">
        <v>1606</v>
      </c>
      <c r="P109" s="5">
        <v>0.45590000000000003</v>
      </c>
    </row>
    <row r="110" spans="1:16" x14ac:dyDescent="0.45">
      <c r="A110" s="2" t="s">
        <v>113</v>
      </c>
      <c r="B110" s="18" t="s">
        <v>150</v>
      </c>
      <c r="C110" s="21">
        <v>46555</v>
      </c>
      <c r="D110" s="27">
        <v>4.0523289999999997E-2</v>
      </c>
      <c r="E110" s="24">
        <f t="shared" si="3"/>
        <v>0.9452054794520548</v>
      </c>
      <c r="F110" s="3">
        <v>46210.480555555558</v>
      </c>
      <c r="G110" s="11">
        <v>370</v>
      </c>
      <c r="H110" s="10">
        <v>50.84</v>
      </c>
      <c r="I110" s="10">
        <v>51.3</v>
      </c>
      <c r="J110" s="10">
        <v>52</v>
      </c>
      <c r="K110" s="10">
        <f t="shared" si="2"/>
        <v>51.65</v>
      </c>
      <c r="L110" s="10">
        <v>3.55</v>
      </c>
      <c r="M110" s="5">
        <v>7.51E-2</v>
      </c>
      <c r="N110" s="10">
        <v>5</v>
      </c>
      <c r="O110" s="4">
        <v>8708</v>
      </c>
      <c r="P110" s="5">
        <v>0.45219999999999999</v>
      </c>
    </row>
    <row r="111" spans="1:16" x14ac:dyDescent="0.45">
      <c r="A111" s="2" t="s">
        <v>114</v>
      </c>
      <c r="B111" s="18" t="s">
        <v>150</v>
      </c>
      <c r="C111" s="21">
        <v>46555</v>
      </c>
      <c r="D111" s="27">
        <v>4.0523289999999997E-2</v>
      </c>
      <c r="E111" s="24">
        <f t="shared" si="3"/>
        <v>0.9452054794520548</v>
      </c>
      <c r="F111" s="3">
        <v>46210.664583333331</v>
      </c>
      <c r="G111" s="11">
        <v>380</v>
      </c>
      <c r="H111" s="10">
        <v>56.48</v>
      </c>
      <c r="I111" s="10">
        <v>56.05</v>
      </c>
      <c r="J111" s="10">
        <v>56.9</v>
      </c>
      <c r="K111" s="10">
        <f t="shared" si="2"/>
        <v>56.474999999999994</v>
      </c>
      <c r="L111" s="10">
        <v>4.5999999999999996</v>
      </c>
      <c r="M111" s="5">
        <v>8.8700000000000001E-2</v>
      </c>
      <c r="N111" s="10">
        <v>9</v>
      </c>
      <c r="O111" s="4">
        <v>215</v>
      </c>
      <c r="P111" s="5">
        <v>0.44990000000000002</v>
      </c>
    </row>
    <row r="112" spans="1:16" x14ac:dyDescent="0.45">
      <c r="A112" s="2" t="s">
        <v>115</v>
      </c>
      <c r="B112" s="18" t="s">
        <v>150</v>
      </c>
      <c r="C112" s="21">
        <v>46555</v>
      </c>
      <c r="D112" s="27">
        <v>4.0523289999999997E-2</v>
      </c>
      <c r="E112" s="24">
        <f t="shared" si="3"/>
        <v>0.9452054794520548</v>
      </c>
      <c r="F112" s="3">
        <v>46210.569444444445</v>
      </c>
      <c r="G112" s="11">
        <v>390</v>
      </c>
      <c r="H112" s="10">
        <v>60.2</v>
      </c>
      <c r="I112" s="10">
        <v>61.1</v>
      </c>
      <c r="J112" s="10">
        <v>61.9</v>
      </c>
      <c r="K112" s="10">
        <f t="shared" si="2"/>
        <v>61.5</v>
      </c>
      <c r="L112" s="10">
        <v>3.51</v>
      </c>
      <c r="M112" s="5">
        <v>6.1899999999999997E-2</v>
      </c>
      <c r="N112" s="10">
        <v>2</v>
      </c>
      <c r="O112" s="4">
        <v>1563</v>
      </c>
      <c r="P112" s="5">
        <v>0.44690000000000002</v>
      </c>
    </row>
    <row r="113" spans="1:16" x14ac:dyDescent="0.45">
      <c r="A113" s="2" t="s">
        <v>116</v>
      </c>
      <c r="B113" s="18" t="s">
        <v>150</v>
      </c>
      <c r="C113" s="21">
        <v>46555</v>
      </c>
      <c r="D113" s="27">
        <v>4.0523289999999997E-2</v>
      </c>
      <c r="E113" s="24">
        <f t="shared" si="3"/>
        <v>0.9452054794520548</v>
      </c>
      <c r="F113" s="3">
        <v>46210.664583333331</v>
      </c>
      <c r="G113" s="11">
        <v>400</v>
      </c>
      <c r="H113" s="10">
        <v>66.75</v>
      </c>
      <c r="I113" s="10">
        <v>66.400000000000006</v>
      </c>
      <c r="J113" s="10">
        <v>67.150000000000006</v>
      </c>
      <c r="K113" s="10">
        <f t="shared" si="2"/>
        <v>66.775000000000006</v>
      </c>
      <c r="L113" s="10">
        <v>5.23</v>
      </c>
      <c r="M113" s="5">
        <v>8.5000000000000006E-2</v>
      </c>
      <c r="N113" s="10">
        <v>34</v>
      </c>
      <c r="O113" s="4">
        <v>3415</v>
      </c>
      <c r="P113" s="5">
        <v>0.44409999999999999</v>
      </c>
    </row>
    <row r="114" spans="1:16" x14ac:dyDescent="0.45">
      <c r="A114" s="2" t="s">
        <v>117</v>
      </c>
      <c r="B114" s="18" t="s">
        <v>149</v>
      </c>
      <c r="C114" s="21">
        <v>46647</v>
      </c>
      <c r="D114" s="27">
        <v>4.0856440000000001E-2</v>
      </c>
      <c r="E114" s="24">
        <f t="shared" si="3"/>
        <v>1.1972602739726028</v>
      </c>
      <c r="F114" s="3">
        <v>46210.652777777781</v>
      </c>
      <c r="G114" s="11">
        <v>410</v>
      </c>
      <c r="H114" s="10">
        <v>94.54</v>
      </c>
      <c r="I114" s="10">
        <v>93.5</v>
      </c>
      <c r="J114" s="10">
        <v>94.3</v>
      </c>
      <c r="K114" s="10">
        <f t="shared" si="2"/>
        <v>93.9</v>
      </c>
      <c r="L114" s="10">
        <v>-7.66</v>
      </c>
      <c r="M114" s="5">
        <v>-7.4999999999999997E-2</v>
      </c>
      <c r="N114" s="10">
        <v>3</v>
      </c>
      <c r="O114" s="4">
        <v>147</v>
      </c>
      <c r="P114" s="5">
        <v>0.5575</v>
      </c>
    </row>
    <row r="115" spans="1:16" x14ac:dyDescent="0.45">
      <c r="A115" s="2" t="s">
        <v>118</v>
      </c>
      <c r="B115" s="18" t="s">
        <v>149</v>
      </c>
      <c r="C115" s="21">
        <v>46647</v>
      </c>
      <c r="D115" s="27">
        <v>4.0856440000000001E-2</v>
      </c>
      <c r="E115" s="24">
        <f t="shared" si="3"/>
        <v>1.1972602739726028</v>
      </c>
      <c r="F115" s="3">
        <v>46210.476388888892</v>
      </c>
      <c r="G115" s="11">
        <v>420</v>
      </c>
      <c r="H115" s="10">
        <v>91.84</v>
      </c>
      <c r="I115" s="10">
        <v>89.5</v>
      </c>
      <c r="J115" s="10">
        <v>90.3</v>
      </c>
      <c r="K115" s="10">
        <f t="shared" si="2"/>
        <v>89.9</v>
      </c>
      <c r="L115" s="10">
        <v>-5.96</v>
      </c>
      <c r="M115" s="5">
        <v>-6.0900000000000003E-2</v>
      </c>
      <c r="N115" s="10">
        <v>9</v>
      </c>
      <c r="O115" s="4">
        <v>127</v>
      </c>
      <c r="P115" s="5">
        <v>0.55520000000000003</v>
      </c>
    </row>
    <row r="116" spans="1:16" x14ac:dyDescent="0.45">
      <c r="A116" s="2" t="s">
        <v>119</v>
      </c>
      <c r="B116" s="18" t="s">
        <v>149</v>
      </c>
      <c r="C116" s="21">
        <v>46647</v>
      </c>
      <c r="D116" s="27">
        <v>4.0856440000000001E-2</v>
      </c>
      <c r="E116" s="24">
        <f t="shared" si="3"/>
        <v>1.1972602739726028</v>
      </c>
      <c r="F116" s="3">
        <v>46210.618750000001</v>
      </c>
      <c r="G116" s="11">
        <v>430</v>
      </c>
      <c r="H116" s="10">
        <v>86.54</v>
      </c>
      <c r="I116" s="10">
        <v>85.65</v>
      </c>
      <c r="J116" s="10">
        <v>86.55</v>
      </c>
      <c r="K116" s="10">
        <f t="shared" si="2"/>
        <v>86.1</v>
      </c>
      <c r="L116" s="10">
        <v>-9.16</v>
      </c>
      <c r="M116" s="5">
        <v>-9.5699999999999993E-2</v>
      </c>
      <c r="N116" s="10">
        <v>4</v>
      </c>
      <c r="O116" s="4">
        <v>173</v>
      </c>
      <c r="P116" s="5">
        <v>0.55330000000000001</v>
      </c>
    </row>
    <row r="117" spans="1:16" x14ac:dyDescent="0.45">
      <c r="A117" s="2" t="s">
        <v>120</v>
      </c>
      <c r="B117" s="18" t="s">
        <v>149</v>
      </c>
      <c r="C117" s="21">
        <v>46647</v>
      </c>
      <c r="D117" s="27">
        <v>4.0856440000000001E-2</v>
      </c>
      <c r="E117" s="24">
        <f t="shared" si="3"/>
        <v>1.1972602739726028</v>
      </c>
      <c r="F117" s="3">
        <v>46210.630555555559</v>
      </c>
      <c r="G117" s="11">
        <v>440</v>
      </c>
      <c r="H117" s="10">
        <v>82.81</v>
      </c>
      <c r="I117" s="10">
        <v>82.1</v>
      </c>
      <c r="J117" s="10">
        <v>82.85</v>
      </c>
      <c r="K117" s="10">
        <f t="shared" si="2"/>
        <v>82.474999999999994</v>
      </c>
      <c r="L117" s="10">
        <v>1.24</v>
      </c>
      <c r="M117" s="5">
        <v>1.52E-2</v>
      </c>
      <c r="N117" s="10">
        <v>2</v>
      </c>
      <c r="O117" s="4">
        <v>136</v>
      </c>
      <c r="P117" s="5">
        <v>0.55169999999999997</v>
      </c>
    </row>
    <row r="118" spans="1:16" x14ac:dyDescent="0.45">
      <c r="A118" s="2" t="s">
        <v>121</v>
      </c>
      <c r="B118" s="18" t="s">
        <v>149</v>
      </c>
      <c r="C118" s="21">
        <v>46647</v>
      </c>
      <c r="D118" s="27">
        <v>4.0856440000000001E-2</v>
      </c>
      <c r="E118" s="24">
        <f t="shared" si="3"/>
        <v>1.1972602739726028</v>
      </c>
      <c r="F118" s="3">
        <v>46210.456250000003</v>
      </c>
      <c r="G118" s="11">
        <v>450</v>
      </c>
      <c r="H118" s="10">
        <v>82.67</v>
      </c>
      <c r="I118" s="10">
        <v>78.75</v>
      </c>
      <c r="J118" s="10">
        <v>79.400000000000006</v>
      </c>
      <c r="K118" s="10">
        <f t="shared" si="2"/>
        <v>79.075000000000003</v>
      </c>
      <c r="L118" s="10">
        <v>-5.98</v>
      </c>
      <c r="M118" s="5">
        <v>-6.7500000000000004E-2</v>
      </c>
      <c r="N118" s="10">
        <v>6</v>
      </c>
      <c r="O118" s="4">
        <v>472</v>
      </c>
      <c r="P118" s="5">
        <v>0.55059999999999998</v>
      </c>
    </row>
    <row r="119" spans="1:16" x14ac:dyDescent="0.45">
      <c r="A119" s="2" t="s">
        <v>122</v>
      </c>
      <c r="B119" s="18" t="s">
        <v>149</v>
      </c>
      <c r="C119" s="21">
        <v>46647</v>
      </c>
      <c r="D119" s="27">
        <v>4.0856440000000001E-2</v>
      </c>
      <c r="E119" s="24">
        <f t="shared" si="3"/>
        <v>1.1972602739726028</v>
      </c>
      <c r="F119" s="3">
        <v>46210.413194444445</v>
      </c>
      <c r="G119" s="11">
        <v>460</v>
      </c>
      <c r="H119" s="10">
        <v>80.98</v>
      </c>
      <c r="I119" s="10">
        <v>75.400000000000006</v>
      </c>
      <c r="J119" s="10">
        <v>76.099999999999994</v>
      </c>
      <c r="K119" s="10">
        <f t="shared" si="2"/>
        <v>75.75</v>
      </c>
      <c r="L119" s="10">
        <v>-2.33</v>
      </c>
      <c r="M119" s="5">
        <v>-2.8000000000000001E-2</v>
      </c>
      <c r="N119" s="10">
        <v>1</v>
      </c>
      <c r="O119" s="4">
        <v>64</v>
      </c>
      <c r="P119" s="5">
        <v>0.54920000000000002</v>
      </c>
    </row>
    <row r="120" spans="1:16" x14ac:dyDescent="0.45">
      <c r="A120" s="2" t="s">
        <v>123</v>
      </c>
      <c r="B120" s="18" t="s">
        <v>149</v>
      </c>
      <c r="C120" s="21">
        <v>46647</v>
      </c>
      <c r="D120" s="27">
        <v>4.0856440000000001E-2</v>
      </c>
      <c r="E120" s="24">
        <f t="shared" si="3"/>
        <v>1.1972602739726028</v>
      </c>
      <c r="F120" s="3">
        <v>46210.536805555559</v>
      </c>
      <c r="G120" s="11">
        <v>470</v>
      </c>
      <c r="H120" s="10">
        <v>76</v>
      </c>
      <c r="I120" s="10">
        <v>72.25</v>
      </c>
      <c r="J120" s="10">
        <v>72.95</v>
      </c>
      <c r="K120" s="10">
        <f t="shared" si="2"/>
        <v>72.599999999999994</v>
      </c>
      <c r="L120" s="10">
        <v>-3.5</v>
      </c>
      <c r="M120" s="5">
        <v>-4.3999999999999997E-2</v>
      </c>
      <c r="N120" s="10">
        <v>1</v>
      </c>
      <c r="O120" s="4">
        <v>65</v>
      </c>
      <c r="P120" s="5">
        <v>0.54800000000000004</v>
      </c>
    </row>
    <row r="121" spans="1:16" x14ac:dyDescent="0.45">
      <c r="A121" s="2" t="s">
        <v>124</v>
      </c>
      <c r="B121" s="18" t="s">
        <v>149</v>
      </c>
      <c r="C121" s="21">
        <v>46647</v>
      </c>
      <c r="D121" s="27">
        <v>4.0856440000000001E-2</v>
      </c>
      <c r="E121" s="24">
        <f t="shared" si="3"/>
        <v>1.1972602739726028</v>
      </c>
      <c r="F121" s="3">
        <v>46180.545138888891</v>
      </c>
      <c r="G121" s="11">
        <v>480</v>
      </c>
      <c r="H121" s="10">
        <v>77.900000000000006</v>
      </c>
      <c r="I121" s="10">
        <v>68.900000000000006</v>
      </c>
      <c r="J121" s="10">
        <v>70.45</v>
      </c>
      <c r="K121" s="10">
        <f t="shared" si="2"/>
        <v>69.675000000000011</v>
      </c>
      <c r="L121" s="10">
        <v>0</v>
      </c>
      <c r="M121" s="5">
        <v>0</v>
      </c>
      <c r="N121" s="10">
        <v>4</v>
      </c>
      <c r="O121" s="4">
        <v>88</v>
      </c>
      <c r="P121" s="5">
        <v>0.54749999999999999</v>
      </c>
    </row>
    <row r="122" spans="1:16" x14ac:dyDescent="0.45">
      <c r="A122" s="2" t="s">
        <v>125</v>
      </c>
      <c r="B122" s="18" t="s">
        <v>150</v>
      </c>
      <c r="C122" s="21">
        <v>46647</v>
      </c>
      <c r="D122" s="27">
        <v>4.0856440000000001E-2</v>
      </c>
      <c r="E122" s="24">
        <f t="shared" si="3"/>
        <v>1.1972602739726028</v>
      </c>
      <c r="F122" s="3">
        <v>46210.633333333331</v>
      </c>
      <c r="G122" s="11">
        <v>330</v>
      </c>
      <c r="H122" s="10">
        <v>42</v>
      </c>
      <c r="I122" s="10">
        <v>41.8</v>
      </c>
      <c r="J122" s="10">
        <v>42.45</v>
      </c>
      <c r="K122" s="10">
        <f t="shared" si="2"/>
        <v>42.125</v>
      </c>
      <c r="L122" s="10">
        <v>4.88</v>
      </c>
      <c r="M122" s="5">
        <v>0.13150000000000001</v>
      </c>
      <c r="N122" s="10">
        <v>3</v>
      </c>
      <c r="O122" s="4">
        <v>512</v>
      </c>
      <c r="P122" s="5">
        <v>0.4642</v>
      </c>
    </row>
    <row r="123" spans="1:16" x14ac:dyDescent="0.45">
      <c r="A123" s="2" t="s">
        <v>126</v>
      </c>
      <c r="B123" s="18" t="s">
        <v>150</v>
      </c>
      <c r="C123" s="21">
        <v>46647</v>
      </c>
      <c r="D123" s="27">
        <v>4.0856440000000001E-2</v>
      </c>
      <c r="E123" s="24">
        <f t="shared" si="3"/>
        <v>1.1972602739726028</v>
      </c>
      <c r="F123" s="3">
        <v>46210.509027777778</v>
      </c>
      <c r="G123" s="11">
        <v>340</v>
      </c>
      <c r="H123" s="10">
        <v>45.3</v>
      </c>
      <c r="I123" s="10">
        <v>45.85</v>
      </c>
      <c r="J123" s="10">
        <v>46.5</v>
      </c>
      <c r="K123" s="10">
        <f t="shared" si="2"/>
        <v>46.174999999999997</v>
      </c>
      <c r="L123" s="10">
        <v>2.44</v>
      </c>
      <c r="M123" s="5">
        <v>5.6899999999999999E-2</v>
      </c>
      <c r="N123" s="10">
        <v>1</v>
      </c>
      <c r="O123" s="4">
        <v>48</v>
      </c>
      <c r="P123" s="5">
        <v>0.4607</v>
      </c>
    </row>
    <row r="124" spans="1:16" x14ac:dyDescent="0.45">
      <c r="A124" s="2" t="s">
        <v>127</v>
      </c>
      <c r="B124" s="18" t="s">
        <v>150</v>
      </c>
      <c r="C124" s="21">
        <v>46647</v>
      </c>
      <c r="D124" s="27">
        <v>4.0856440000000001E-2</v>
      </c>
      <c r="E124" s="24">
        <f t="shared" si="3"/>
        <v>1.1972602739726028</v>
      </c>
      <c r="F124" s="3">
        <v>46210.430555555555</v>
      </c>
      <c r="G124" s="11">
        <v>350</v>
      </c>
      <c r="H124" s="10">
        <v>49</v>
      </c>
      <c r="I124" s="10">
        <v>50.15</v>
      </c>
      <c r="J124" s="10">
        <v>50.75</v>
      </c>
      <c r="K124" s="10">
        <f t="shared" si="2"/>
        <v>50.45</v>
      </c>
      <c r="L124" s="10">
        <v>2.2599999999999998</v>
      </c>
      <c r="M124" s="5">
        <v>4.8399999999999999E-2</v>
      </c>
      <c r="N124" s="10">
        <v>1</v>
      </c>
      <c r="O124" s="4">
        <v>427</v>
      </c>
      <c r="P124" s="5">
        <v>0.45729999999999998</v>
      </c>
    </row>
    <row r="125" spans="1:16" x14ac:dyDescent="0.45">
      <c r="A125" s="2" t="s">
        <v>128</v>
      </c>
      <c r="B125" s="18" t="s">
        <v>150</v>
      </c>
      <c r="C125" s="21">
        <v>46647</v>
      </c>
      <c r="D125" s="27">
        <v>4.0856440000000001E-2</v>
      </c>
      <c r="E125" s="24">
        <f t="shared" si="3"/>
        <v>1.1972602739726028</v>
      </c>
      <c r="F125" s="3">
        <v>46210.640277777777</v>
      </c>
      <c r="G125" s="11">
        <v>360</v>
      </c>
      <c r="H125" s="10">
        <v>54.87</v>
      </c>
      <c r="I125" s="10">
        <v>54.6</v>
      </c>
      <c r="J125" s="10">
        <v>55.3</v>
      </c>
      <c r="K125" s="10">
        <f t="shared" si="2"/>
        <v>54.95</v>
      </c>
      <c r="L125" s="10">
        <v>-4.13</v>
      </c>
      <c r="M125" s="5">
        <v>-7.0000000000000007E-2</v>
      </c>
      <c r="N125" s="10">
        <v>1</v>
      </c>
      <c r="O125" s="4">
        <v>473</v>
      </c>
      <c r="P125" s="5">
        <v>0.45450000000000002</v>
      </c>
    </row>
    <row r="126" spans="1:16" x14ac:dyDescent="0.45">
      <c r="A126" s="2" t="s">
        <v>129</v>
      </c>
      <c r="B126" s="18" t="s">
        <v>150</v>
      </c>
      <c r="C126" s="21">
        <v>46647</v>
      </c>
      <c r="D126" s="27">
        <v>4.0856440000000001E-2</v>
      </c>
      <c r="E126" s="24">
        <f t="shared" si="3"/>
        <v>1.1972602739726028</v>
      </c>
      <c r="F126" s="3">
        <v>46210.659722222219</v>
      </c>
      <c r="G126" s="11">
        <v>370</v>
      </c>
      <c r="H126" s="10">
        <v>59.28</v>
      </c>
      <c r="I126" s="10">
        <v>59.3</v>
      </c>
      <c r="J126" s="10">
        <v>60</v>
      </c>
      <c r="K126" s="10">
        <f t="shared" si="2"/>
        <v>59.65</v>
      </c>
      <c r="L126" s="10">
        <v>-3.94</v>
      </c>
      <c r="M126" s="5">
        <v>-6.2300000000000001E-2</v>
      </c>
      <c r="N126" s="10">
        <v>2</v>
      </c>
      <c r="O126" s="4">
        <v>143</v>
      </c>
      <c r="P126" s="5">
        <v>0.45140000000000002</v>
      </c>
    </row>
    <row r="127" spans="1:16" x14ac:dyDescent="0.45">
      <c r="A127" s="2" t="s">
        <v>130</v>
      </c>
      <c r="B127" s="18" t="s">
        <v>150</v>
      </c>
      <c r="C127" s="21">
        <v>46647</v>
      </c>
      <c r="D127" s="27">
        <v>4.0856440000000001E-2</v>
      </c>
      <c r="E127" s="24">
        <f t="shared" si="3"/>
        <v>1.1972602739726028</v>
      </c>
      <c r="F127" s="3">
        <v>46060.484722222223</v>
      </c>
      <c r="G127" s="11">
        <v>380</v>
      </c>
      <c r="H127" s="10">
        <v>65.599999999999994</v>
      </c>
      <c r="I127" s="10">
        <v>63.8</v>
      </c>
      <c r="J127" s="10">
        <v>65.349999999999994</v>
      </c>
      <c r="K127" s="10">
        <f t="shared" si="2"/>
        <v>64.574999999999989</v>
      </c>
      <c r="L127" s="10">
        <v>0</v>
      </c>
      <c r="M127" s="5">
        <v>0</v>
      </c>
      <c r="N127" s="10">
        <v>5</v>
      </c>
      <c r="O127" s="4">
        <v>259</v>
      </c>
      <c r="P127" s="5">
        <v>0.4511</v>
      </c>
    </row>
    <row r="128" spans="1:16" x14ac:dyDescent="0.45">
      <c r="A128" s="2" t="s">
        <v>131</v>
      </c>
      <c r="B128" s="18" t="s">
        <v>150</v>
      </c>
      <c r="C128" s="21">
        <v>46647</v>
      </c>
      <c r="D128" s="27">
        <v>4.0856440000000001E-2</v>
      </c>
      <c r="E128" s="24">
        <f t="shared" si="3"/>
        <v>1.1972602739726028</v>
      </c>
      <c r="F128" s="3">
        <v>46210.665972222225</v>
      </c>
      <c r="G128" s="11">
        <v>390</v>
      </c>
      <c r="H128" s="10">
        <v>69.58</v>
      </c>
      <c r="I128" s="10">
        <v>69.400000000000006</v>
      </c>
      <c r="J128" s="10">
        <v>70.05</v>
      </c>
      <c r="K128" s="10">
        <f t="shared" si="2"/>
        <v>69.724999999999994</v>
      </c>
      <c r="L128" s="10">
        <v>4.58</v>
      </c>
      <c r="M128" s="5">
        <v>7.0499999999999993E-2</v>
      </c>
      <c r="N128" s="10">
        <v>2</v>
      </c>
      <c r="O128" s="4">
        <v>91</v>
      </c>
      <c r="P128" s="5">
        <v>0.4456</v>
      </c>
    </row>
    <row r="129" spans="1:16" x14ac:dyDescent="0.45">
      <c r="A129" s="2" t="s">
        <v>132</v>
      </c>
      <c r="B129" s="18" t="s">
        <v>150</v>
      </c>
      <c r="C129" s="21">
        <v>46647</v>
      </c>
      <c r="D129" s="27">
        <v>4.0856440000000001E-2</v>
      </c>
      <c r="E129" s="24">
        <f t="shared" si="3"/>
        <v>1.1972602739726028</v>
      </c>
      <c r="F129" s="3">
        <v>46210.412499999999</v>
      </c>
      <c r="G129" s="11">
        <v>400</v>
      </c>
      <c r="H129" s="10">
        <v>71.599999999999994</v>
      </c>
      <c r="I129" s="10">
        <v>74.75</v>
      </c>
      <c r="J129" s="10">
        <v>75.45</v>
      </c>
      <c r="K129" s="10">
        <f t="shared" si="2"/>
        <v>75.099999999999994</v>
      </c>
      <c r="L129" s="10">
        <v>0.89</v>
      </c>
      <c r="M129" s="5">
        <v>1.26E-2</v>
      </c>
      <c r="N129" s="10">
        <v>2</v>
      </c>
      <c r="O129" s="4">
        <v>403</v>
      </c>
      <c r="P129" s="5">
        <v>0.44319999999999998</v>
      </c>
    </row>
    <row r="130" spans="1:16" x14ac:dyDescent="0.45">
      <c r="A130" s="2" t="s">
        <v>133</v>
      </c>
      <c r="B130" s="18" t="s">
        <v>149</v>
      </c>
      <c r="C130" s="21">
        <v>46738</v>
      </c>
      <c r="D130" s="27">
        <v>4.1180550000000003E-2</v>
      </c>
      <c r="E130" s="24">
        <f t="shared" si="3"/>
        <v>1.4465753424657535</v>
      </c>
      <c r="F130" s="3">
        <v>46210.625</v>
      </c>
      <c r="G130" s="11">
        <v>410</v>
      </c>
      <c r="H130" s="10">
        <v>105.5</v>
      </c>
      <c r="I130" s="10">
        <v>104.85</v>
      </c>
      <c r="J130" s="10">
        <v>105.95</v>
      </c>
      <c r="K130" s="10">
        <f t="shared" si="2"/>
        <v>105.4</v>
      </c>
      <c r="L130" s="10">
        <v>-9.6999999999999993</v>
      </c>
      <c r="M130" s="5">
        <v>-8.4199999999999997E-2</v>
      </c>
      <c r="N130" s="10">
        <v>5</v>
      </c>
      <c r="O130" s="4">
        <v>958</v>
      </c>
      <c r="P130" s="5">
        <v>0.56930000000000003</v>
      </c>
    </row>
    <row r="131" spans="1:16" x14ac:dyDescent="0.45">
      <c r="A131" s="2" t="s">
        <v>134</v>
      </c>
      <c r="B131" s="18" t="s">
        <v>149</v>
      </c>
      <c r="C131" s="21">
        <v>46738</v>
      </c>
      <c r="D131" s="27">
        <v>4.1180550000000003E-2</v>
      </c>
      <c r="E131" s="24">
        <f t="shared" si="3"/>
        <v>1.4465753424657535</v>
      </c>
      <c r="F131" s="3">
        <v>46210.606249999997</v>
      </c>
      <c r="G131" s="11">
        <v>420</v>
      </c>
      <c r="H131" s="10">
        <v>103.9</v>
      </c>
      <c r="I131" s="10">
        <v>101</v>
      </c>
      <c r="J131" s="10">
        <v>102.05</v>
      </c>
      <c r="K131" s="10">
        <f t="shared" si="2"/>
        <v>101.52500000000001</v>
      </c>
      <c r="L131" s="10">
        <v>-6.47</v>
      </c>
      <c r="M131" s="5">
        <v>-5.8599999999999999E-2</v>
      </c>
      <c r="N131" s="10">
        <v>17</v>
      </c>
      <c r="O131" s="4">
        <v>1005</v>
      </c>
      <c r="P131" s="5">
        <v>0.56730000000000003</v>
      </c>
    </row>
    <row r="132" spans="1:16" x14ac:dyDescent="0.45">
      <c r="A132" s="2" t="s">
        <v>135</v>
      </c>
      <c r="B132" s="18" t="s">
        <v>149</v>
      </c>
      <c r="C132" s="21">
        <v>46738</v>
      </c>
      <c r="D132" s="27">
        <v>4.1180550000000003E-2</v>
      </c>
      <c r="E132" s="24">
        <f t="shared" si="3"/>
        <v>1.4465753424657535</v>
      </c>
      <c r="F132" s="3">
        <v>46210.415972222225</v>
      </c>
      <c r="G132" s="11">
        <v>430</v>
      </c>
      <c r="H132" s="10">
        <v>98.17</v>
      </c>
      <c r="I132" s="10">
        <v>97.25</v>
      </c>
      <c r="J132" s="10">
        <v>98.35</v>
      </c>
      <c r="K132" s="10">
        <f t="shared" ref="K132:K145" si="4">(I132+J132)/2</f>
        <v>97.8</v>
      </c>
      <c r="L132" s="10">
        <v>-8.23</v>
      </c>
      <c r="M132" s="5">
        <v>-7.7299999999999994E-2</v>
      </c>
      <c r="N132" s="10">
        <v>3</v>
      </c>
      <c r="O132" s="4">
        <v>1094</v>
      </c>
      <c r="P132" s="5">
        <v>0.56540000000000001</v>
      </c>
    </row>
    <row r="133" spans="1:16" x14ac:dyDescent="0.45">
      <c r="A133" s="2" t="s">
        <v>136</v>
      </c>
      <c r="B133" s="18" t="s">
        <v>149</v>
      </c>
      <c r="C133" s="21">
        <v>46738</v>
      </c>
      <c r="D133" s="27">
        <v>4.1180550000000003E-2</v>
      </c>
      <c r="E133" s="24">
        <f t="shared" si="3"/>
        <v>1.4465753424657535</v>
      </c>
      <c r="F133" s="3">
        <v>46210.625</v>
      </c>
      <c r="G133" s="11">
        <v>440</v>
      </c>
      <c r="H133" s="10">
        <v>94.41</v>
      </c>
      <c r="I133" s="10">
        <v>93.7</v>
      </c>
      <c r="J133" s="10">
        <v>94.75</v>
      </c>
      <c r="K133" s="10">
        <f t="shared" si="4"/>
        <v>94.224999999999994</v>
      </c>
      <c r="L133" s="10">
        <v>-8.14</v>
      </c>
      <c r="M133" s="5">
        <v>-7.9399999999999998E-2</v>
      </c>
      <c r="N133" s="10">
        <v>5</v>
      </c>
      <c r="O133" s="4">
        <v>956</v>
      </c>
      <c r="P133" s="5">
        <v>0.56369999999999998</v>
      </c>
    </row>
    <row r="134" spans="1:16" x14ac:dyDescent="0.45">
      <c r="A134" s="2" t="s">
        <v>137</v>
      </c>
      <c r="B134" s="18" t="s">
        <v>149</v>
      </c>
      <c r="C134" s="21">
        <v>46738</v>
      </c>
      <c r="D134" s="27">
        <v>4.1180550000000003E-2</v>
      </c>
      <c r="E134" s="24">
        <f t="shared" ref="E134:E145" si="5">(C134-DATE(2026,7,7))/365</f>
        <v>1.4465753424657535</v>
      </c>
      <c r="F134" s="3">
        <v>46210.665972222225</v>
      </c>
      <c r="G134" s="11">
        <v>450</v>
      </c>
      <c r="H134" s="10">
        <v>90.9</v>
      </c>
      <c r="I134" s="10">
        <v>90.3</v>
      </c>
      <c r="J134" s="10">
        <v>91.2</v>
      </c>
      <c r="K134" s="10">
        <f t="shared" si="4"/>
        <v>90.75</v>
      </c>
      <c r="L134" s="10">
        <v>-6.9</v>
      </c>
      <c r="M134" s="5">
        <v>-7.0599999999999996E-2</v>
      </c>
      <c r="N134" s="10">
        <v>19</v>
      </c>
      <c r="O134" s="4">
        <v>5881</v>
      </c>
      <c r="P134" s="5">
        <v>0.56189999999999996</v>
      </c>
    </row>
    <row r="135" spans="1:16" x14ac:dyDescent="0.45">
      <c r="A135" s="2" t="s">
        <v>138</v>
      </c>
      <c r="B135" s="18" t="s">
        <v>149</v>
      </c>
      <c r="C135" s="21">
        <v>46738</v>
      </c>
      <c r="D135" s="27">
        <v>4.1180550000000003E-2</v>
      </c>
      <c r="E135" s="24">
        <f t="shared" si="5"/>
        <v>1.4465753424657535</v>
      </c>
      <c r="F135" s="3">
        <v>46210.618750000001</v>
      </c>
      <c r="G135" s="11">
        <v>460</v>
      </c>
      <c r="H135" s="10">
        <v>87.87</v>
      </c>
      <c r="I135" s="10">
        <v>87.05</v>
      </c>
      <c r="J135" s="10">
        <v>87.85</v>
      </c>
      <c r="K135" s="10">
        <f t="shared" si="4"/>
        <v>87.449999999999989</v>
      </c>
      <c r="L135" s="10">
        <v>-6.53</v>
      </c>
      <c r="M135" s="5">
        <v>-6.9199999999999998E-2</v>
      </c>
      <c r="N135" s="10">
        <v>2</v>
      </c>
      <c r="O135" s="4">
        <v>2227</v>
      </c>
      <c r="P135" s="5">
        <v>0.5605</v>
      </c>
    </row>
    <row r="136" spans="1:16" x14ac:dyDescent="0.45">
      <c r="A136" s="2" t="s">
        <v>139</v>
      </c>
      <c r="B136" s="18" t="s">
        <v>149</v>
      </c>
      <c r="C136" s="21">
        <v>46738</v>
      </c>
      <c r="D136" s="27">
        <v>4.1180550000000003E-2</v>
      </c>
      <c r="E136" s="24">
        <f t="shared" si="5"/>
        <v>1.4465753424657535</v>
      </c>
      <c r="F136" s="3">
        <v>46210.440972222219</v>
      </c>
      <c r="G136" s="11">
        <v>470</v>
      </c>
      <c r="H136" s="10">
        <v>87.95</v>
      </c>
      <c r="I136" s="10">
        <v>83.9</v>
      </c>
      <c r="J136" s="10">
        <v>84.7</v>
      </c>
      <c r="K136" s="10">
        <f t="shared" si="4"/>
        <v>84.300000000000011</v>
      </c>
      <c r="L136" s="10">
        <v>-3.05</v>
      </c>
      <c r="M136" s="5">
        <v>-3.3500000000000002E-2</v>
      </c>
      <c r="N136" s="10">
        <v>1</v>
      </c>
      <c r="O136" s="4">
        <v>759</v>
      </c>
      <c r="P136" s="5">
        <v>0.55930000000000002</v>
      </c>
    </row>
    <row r="137" spans="1:16" x14ac:dyDescent="0.45">
      <c r="A137" s="2" t="s">
        <v>140</v>
      </c>
      <c r="B137" s="18" t="s">
        <v>149</v>
      </c>
      <c r="C137" s="21">
        <v>46738</v>
      </c>
      <c r="D137" s="27">
        <v>4.1180550000000003E-2</v>
      </c>
      <c r="E137" s="24">
        <f t="shared" si="5"/>
        <v>1.4465753424657535</v>
      </c>
      <c r="F137" s="3">
        <v>46210.59097222222</v>
      </c>
      <c r="G137" s="11">
        <v>480</v>
      </c>
      <c r="H137" s="10">
        <v>83.45</v>
      </c>
      <c r="I137" s="10">
        <v>80.95</v>
      </c>
      <c r="J137" s="10">
        <v>81.7</v>
      </c>
      <c r="K137" s="10">
        <f t="shared" si="4"/>
        <v>81.325000000000003</v>
      </c>
      <c r="L137" s="10">
        <v>-5.64</v>
      </c>
      <c r="M137" s="5">
        <v>-6.3299999999999995E-2</v>
      </c>
      <c r="N137" s="10">
        <v>6</v>
      </c>
      <c r="O137" s="4">
        <v>6711</v>
      </c>
      <c r="P137" s="5">
        <v>0.55840000000000001</v>
      </c>
    </row>
    <row r="138" spans="1:16" x14ac:dyDescent="0.45">
      <c r="A138" s="2" t="s">
        <v>141</v>
      </c>
      <c r="B138" s="18" t="s">
        <v>150</v>
      </c>
      <c r="C138" s="21">
        <v>46738</v>
      </c>
      <c r="D138" s="27">
        <v>4.1180550000000003E-2</v>
      </c>
      <c r="E138" s="24">
        <f t="shared" si="5"/>
        <v>1.4465753424657535</v>
      </c>
      <c r="F138" s="3">
        <v>46210.556250000001</v>
      </c>
      <c r="G138" s="11">
        <v>330</v>
      </c>
      <c r="H138" s="10">
        <v>47.85</v>
      </c>
      <c r="I138" s="10">
        <v>48.2</v>
      </c>
      <c r="J138" s="10">
        <v>49</v>
      </c>
      <c r="K138" s="10">
        <f t="shared" si="4"/>
        <v>48.6</v>
      </c>
      <c r="L138" s="10">
        <v>2.48</v>
      </c>
      <c r="M138" s="5">
        <v>5.4699999999999999E-2</v>
      </c>
      <c r="N138" s="10">
        <v>9</v>
      </c>
      <c r="O138" s="4">
        <v>3086</v>
      </c>
      <c r="P138" s="5">
        <v>0.46389999999999998</v>
      </c>
    </row>
    <row r="139" spans="1:16" x14ac:dyDescent="0.45">
      <c r="A139" s="2" t="s">
        <v>142</v>
      </c>
      <c r="B139" s="18" t="s">
        <v>150</v>
      </c>
      <c r="C139" s="21">
        <v>46738</v>
      </c>
      <c r="D139" s="27">
        <v>4.1180550000000003E-2</v>
      </c>
      <c r="E139" s="24">
        <f t="shared" si="5"/>
        <v>1.4465753424657535</v>
      </c>
      <c r="F139" s="3">
        <v>46210.508333333331</v>
      </c>
      <c r="G139" s="11">
        <v>340</v>
      </c>
      <c r="H139" s="10">
        <v>52</v>
      </c>
      <c r="I139" s="10">
        <v>52.45</v>
      </c>
      <c r="J139" s="10">
        <v>53.25</v>
      </c>
      <c r="K139" s="10">
        <f t="shared" si="4"/>
        <v>52.85</v>
      </c>
      <c r="L139" s="10">
        <v>2.97</v>
      </c>
      <c r="M139" s="5">
        <v>6.0600000000000001E-2</v>
      </c>
      <c r="N139" s="10">
        <v>3</v>
      </c>
      <c r="O139" s="4">
        <v>2147</v>
      </c>
      <c r="P139" s="5">
        <v>0.46060000000000001</v>
      </c>
    </row>
    <row r="140" spans="1:16" x14ac:dyDescent="0.45">
      <c r="A140" s="2" t="s">
        <v>143</v>
      </c>
      <c r="B140" s="18" t="s">
        <v>150</v>
      </c>
      <c r="C140" s="21">
        <v>46738</v>
      </c>
      <c r="D140" s="27">
        <v>4.1180550000000003E-2</v>
      </c>
      <c r="E140" s="24">
        <f t="shared" si="5"/>
        <v>1.4465753424657535</v>
      </c>
      <c r="F140" s="3">
        <v>46210.463194444441</v>
      </c>
      <c r="G140" s="11">
        <v>350</v>
      </c>
      <c r="H140" s="10">
        <v>56.15</v>
      </c>
      <c r="I140" s="10">
        <v>56.9</v>
      </c>
      <c r="J140" s="10">
        <v>57.65</v>
      </c>
      <c r="K140" s="10">
        <f t="shared" si="4"/>
        <v>57.274999999999999</v>
      </c>
      <c r="L140" s="10">
        <v>2.14</v>
      </c>
      <c r="M140" s="5">
        <v>3.9600000000000003E-2</v>
      </c>
      <c r="N140" s="10">
        <v>4</v>
      </c>
      <c r="O140" s="4">
        <v>5607</v>
      </c>
      <c r="P140" s="5">
        <v>0.45710000000000001</v>
      </c>
    </row>
    <row r="141" spans="1:16" x14ac:dyDescent="0.45">
      <c r="A141" s="2" t="s">
        <v>144</v>
      </c>
      <c r="B141" s="18" t="s">
        <v>150</v>
      </c>
      <c r="C141" s="21">
        <v>46738</v>
      </c>
      <c r="D141" s="27">
        <v>4.1180550000000003E-2</v>
      </c>
      <c r="E141" s="24">
        <f t="shared" si="5"/>
        <v>1.4465753424657535</v>
      </c>
      <c r="F141" s="3">
        <v>46210.631944444445</v>
      </c>
      <c r="G141" s="11">
        <v>360</v>
      </c>
      <c r="H141" s="10">
        <v>62</v>
      </c>
      <c r="I141" s="10">
        <v>61.55</v>
      </c>
      <c r="J141" s="10">
        <v>62.35</v>
      </c>
      <c r="K141" s="10">
        <f t="shared" si="4"/>
        <v>61.95</v>
      </c>
      <c r="L141" s="10">
        <v>4.41</v>
      </c>
      <c r="M141" s="5">
        <v>7.6600000000000001E-2</v>
      </c>
      <c r="N141" s="10">
        <v>5</v>
      </c>
      <c r="O141" s="4">
        <v>1683</v>
      </c>
      <c r="P141" s="5">
        <v>0.45440000000000003</v>
      </c>
    </row>
    <row r="142" spans="1:16" x14ac:dyDescent="0.45">
      <c r="A142" s="2" t="s">
        <v>145</v>
      </c>
      <c r="B142" s="18" t="s">
        <v>150</v>
      </c>
      <c r="C142" s="21">
        <v>46738</v>
      </c>
      <c r="D142" s="27">
        <v>4.1180550000000003E-2</v>
      </c>
      <c r="E142" s="24">
        <f t="shared" si="5"/>
        <v>1.4465753424657535</v>
      </c>
      <c r="F142" s="3">
        <v>46210.422222222223</v>
      </c>
      <c r="G142" s="11">
        <v>370</v>
      </c>
      <c r="H142" s="10">
        <v>64</v>
      </c>
      <c r="I142" s="10">
        <v>66.400000000000006</v>
      </c>
      <c r="J142" s="10">
        <v>67.2</v>
      </c>
      <c r="K142" s="10">
        <f t="shared" si="4"/>
        <v>66.800000000000011</v>
      </c>
      <c r="L142" s="10">
        <v>1.75</v>
      </c>
      <c r="M142" s="5">
        <v>2.81E-2</v>
      </c>
      <c r="N142" s="10">
        <v>1</v>
      </c>
      <c r="O142" s="4">
        <v>1938</v>
      </c>
      <c r="P142" s="5">
        <v>0.45140000000000002</v>
      </c>
    </row>
    <row r="143" spans="1:16" x14ac:dyDescent="0.45">
      <c r="A143" s="2" t="s">
        <v>146</v>
      </c>
      <c r="B143" s="18" t="s">
        <v>150</v>
      </c>
      <c r="C143" s="21">
        <v>46738</v>
      </c>
      <c r="D143" s="27">
        <v>4.1180550000000003E-2</v>
      </c>
      <c r="E143" s="24">
        <f t="shared" si="5"/>
        <v>1.4465753424657535</v>
      </c>
      <c r="F143" s="3">
        <v>46210.574305555558</v>
      </c>
      <c r="G143" s="11">
        <v>380</v>
      </c>
      <c r="H143" s="10">
        <v>70.75</v>
      </c>
      <c r="I143" s="10">
        <v>71.45</v>
      </c>
      <c r="J143" s="10">
        <v>72.25</v>
      </c>
      <c r="K143" s="10">
        <f t="shared" si="4"/>
        <v>71.849999999999994</v>
      </c>
      <c r="L143" s="10">
        <v>3.34</v>
      </c>
      <c r="M143" s="5">
        <v>4.9500000000000002E-2</v>
      </c>
      <c r="N143" s="10">
        <v>2</v>
      </c>
      <c r="O143" s="4">
        <v>1317</v>
      </c>
      <c r="P143" s="5">
        <v>0.4486</v>
      </c>
    </row>
    <row r="144" spans="1:16" x14ac:dyDescent="0.45">
      <c r="A144" s="2" t="s">
        <v>147</v>
      </c>
      <c r="B144" s="18" t="s">
        <v>150</v>
      </c>
      <c r="C144" s="21">
        <v>46738</v>
      </c>
      <c r="D144" s="27">
        <v>4.1180550000000003E-2</v>
      </c>
      <c r="E144" s="24">
        <f t="shared" si="5"/>
        <v>1.4465753424657535</v>
      </c>
      <c r="F144" s="3">
        <v>46210.540972222225</v>
      </c>
      <c r="G144" s="11">
        <v>390</v>
      </c>
      <c r="H144" s="10">
        <v>74.900000000000006</v>
      </c>
      <c r="I144" s="10">
        <v>76.650000000000006</v>
      </c>
      <c r="J144" s="10">
        <v>77.5</v>
      </c>
      <c r="K144" s="10">
        <f t="shared" si="4"/>
        <v>77.075000000000003</v>
      </c>
      <c r="L144" s="10">
        <v>2.65</v>
      </c>
      <c r="M144" s="5">
        <v>3.6700000000000003E-2</v>
      </c>
      <c r="N144" s="10">
        <v>3</v>
      </c>
      <c r="O144" s="4">
        <v>900</v>
      </c>
      <c r="P144" s="5">
        <v>0.44600000000000001</v>
      </c>
    </row>
    <row r="145" spans="1:16" x14ac:dyDescent="0.45">
      <c r="A145" s="2" t="s">
        <v>148</v>
      </c>
      <c r="B145" s="18" t="s">
        <v>150</v>
      </c>
      <c r="C145" s="21">
        <v>46738</v>
      </c>
      <c r="D145" s="27">
        <v>4.1180550000000003E-2</v>
      </c>
      <c r="E145" s="24">
        <f t="shared" si="5"/>
        <v>1.4465753424657535</v>
      </c>
      <c r="F145" s="3">
        <v>46210.574999999997</v>
      </c>
      <c r="G145" s="11">
        <v>400</v>
      </c>
      <c r="H145" s="10">
        <v>81.2</v>
      </c>
      <c r="I145" s="10">
        <v>82.1</v>
      </c>
      <c r="J145" s="10">
        <v>82.9</v>
      </c>
      <c r="K145" s="10">
        <f t="shared" si="4"/>
        <v>82.5</v>
      </c>
      <c r="L145" s="10">
        <v>3.85</v>
      </c>
      <c r="M145" s="5">
        <v>4.9799999999999997E-2</v>
      </c>
      <c r="N145" s="10">
        <v>1</v>
      </c>
      <c r="O145" s="4">
        <v>6662</v>
      </c>
      <c r="P145" s="5">
        <v>0.44319999999999998</v>
      </c>
    </row>
    <row r="150" spans="1:16" x14ac:dyDescent="0.45">
      <c r="C150" s="26"/>
      <c r="D150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0B15-B365-4DEC-9352-54832BDFB6E4}">
  <dimension ref="A1:V130"/>
  <sheetViews>
    <sheetView topLeftCell="H1" zoomScale="85" zoomScaleNormal="85" workbookViewId="0">
      <selection activeCell="V14" sqref="V14"/>
    </sheetView>
  </sheetViews>
  <sheetFormatPr defaultRowHeight="14.25" x14ac:dyDescent="0.45"/>
  <cols>
    <col min="1" max="9" width="10.19921875" bestFit="1" customWidth="1"/>
    <col min="10" max="15" width="11.19921875" bestFit="1" customWidth="1"/>
    <col min="17" max="17" width="12.265625" customWidth="1"/>
    <col min="18" max="18" width="11.6640625" customWidth="1"/>
    <col min="19" max="19" width="11.3984375" customWidth="1"/>
    <col min="20" max="20" width="23" customWidth="1"/>
    <col min="21" max="21" width="12.53125" customWidth="1"/>
    <col min="22" max="22" width="20.46484375" customWidth="1"/>
    <col min="23" max="23" width="18.3984375" customWidth="1"/>
  </cols>
  <sheetData>
    <row r="1" spans="1:22" x14ac:dyDescent="0.45">
      <c r="A1" t="s">
        <v>487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173</v>
      </c>
    </row>
    <row r="2" spans="1:22" x14ac:dyDescent="0.45">
      <c r="A2" s="25" t="s">
        <v>474</v>
      </c>
      <c r="B2" s="29">
        <v>8.3333333333333329E-2</v>
      </c>
      <c r="C2" s="29">
        <f>1.5/12</f>
        <v>0.125</v>
      </c>
      <c r="D2" s="29">
        <v>0.16666666666666666</v>
      </c>
      <c r="E2" s="29">
        <v>0.25</v>
      </c>
      <c r="F2" s="29">
        <v>0.33333333333333331</v>
      </c>
      <c r="G2" s="29">
        <v>0.5</v>
      </c>
      <c r="H2" s="29">
        <v>1</v>
      </c>
      <c r="I2" s="29">
        <v>2</v>
      </c>
      <c r="J2" s="29">
        <v>3</v>
      </c>
      <c r="K2" s="29">
        <v>5</v>
      </c>
      <c r="L2" s="29">
        <v>7</v>
      </c>
      <c r="M2" s="29">
        <v>10</v>
      </c>
      <c r="N2" s="29">
        <v>20</v>
      </c>
      <c r="O2" s="29">
        <v>30</v>
      </c>
    </row>
    <row r="3" spans="1:22" s="25" customFormat="1" x14ac:dyDescent="0.45">
      <c r="A3" s="30" t="s">
        <v>174</v>
      </c>
      <c r="B3" s="30">
        <v>3.69</v>
      </c>
      <c r="C3" s="30">
        <v>3.74</v>
      </c>
      <c r="D3" s="30">
        <v>3.82</v>
      </c>
      <c r="E3" s="30">
        <v>3.86</v>
      </c>
      <c r="F3" s="30">
        <v>3.94</v>
      </c>
      <c r="G3" s="30">
        <v>3.99</v>
      </c>
      <c r="H3" s="30">
        <v>4.0599999999999996</v>
      </c>
      <c r="I3" s="30">
        <v>4.1900000000000004</v>
      </c>
      <c r="J3" s="30">
        <v>4.18</v>
      </c>
      <c r="K3" s="30">
        <v>4.2699999999999996</v>
      </c>
      <c r="L3" s="30">
        <v>4.4000000000000004</v>
      </c>
      <c r="M3" s="30">
        <v>4.55</v>
      </c>
      <c r="N3" s="30">
        <v>5.05</v>
      </c>
      <c r="O3" s="30">
        <v>5.05</v>
      </c>
    </row>
    <row r="4" spans="1:22" x14ac:dyDescent="0.45">
      <c r="A4" t="s">
        <v>188</v>
      </c>
      <c r="B4" t="s">
        <v>175</v>
      </c>
      <c r="C4" t="s">
        <v>189</v>
      </c>
      <c r="D4" t="s">
        <v>190</v>
      </c>
      <c r="E4" t="s">
        <v>191</v>
      </c>
      <c r="F4" t="s">
        <v>192</v>
      </c>
      <c r="G4" t="s">
        <v>193</v>
      </c>
      <c r="H4" t="s">
        <v>194</v>
      </c>
      <c r="I4" t="s">
        <v>195</v>
      </c>
      <c r="J4" t="s">
        <v>196</v>
      </c>
      <c r="K4" t="s">
        <v>197</v>
      </c>
      <c r="L4" t="s">
        <v>198</v>
      </c>
      <c r="M4" t="s">
        <v>199</v>
      </c>
      <c r="N4" t="s">
        <v>200</v>
      </c>
      <c r="O4" t="s">
        <v>200</v>
      </c>
      <c r="R4" s="25"/>
    </row>
    <row r="5" spans="1:22" x14ac:dyDescent="0.45">
      <c r="A5" t="s">
        <v>201</v>
      </c>
      <c r="B5" t="s">
        <v>202</v>
      </c>
      <c r="C5" t="s">
        <v>203</v>
      </c>
      <c r="D5" t="s">
        <v>190</v>
      </c>
      <c r="E5" t="s">
        <v>177</v>
      </c>
      <c r="F5" t="s">
        <v>204</v>
      </c>
      <c r="G5" t="s">
        <v>193</v>
      </c>
      <c r="H5" t="s">
        <v>205</v>
      </c>
      <c r="I5" t="s">
        <v>196</v>
      </c>
      <c r="J5" t="s">
        <v>206</v>
      </c>
      <c r="K5" t="s">
        <v>207</v>
      </c>
      <c r="L5" t="s">
        <v>208</v>
      </c>
      <c r="M5" t="s">
        <v>209</v>
      </c>
      <c r="N5" t="s">
        <v>200</v>
      </c>
      <c r="O5" t="s">
        <v>210</v>
      </c>
      <c r="R5" s="26" t="s">
        <v>479</v>
      </c>
      <c r="S5" s="31">
        <v>46210</v>
      </c>
    </row>
    <row r="6" spans="1:22" x14ac:dyDescent="0.45">
      <c r="A6" t="s">
        <v>211</v>
      </c>
      <c r="B6" t="s">
        <v>212</v>
      </c>
      <c r="C6" t="s">
        <v>213</v>
      </c>
      <c r="D6" t="s">
        <v>214</v>
      </c>
      <c r="E6" t="s">
        <v>215</v>
      </c>
      <c r="F6" t="s">
        <v>194</v>
      </c>
      <c r="G6" t="s">
        <v>216</v>
      </c>
      <c r="H6" t="s">
        <v>216</v>
      </c>
      <c r="I6" t="s">
        <v>217</v>
      </c>
      <c r="J6" t="s">
        <v>182</v>
      </c>
      <c r="K6" t="s">
        <v>218</v>
      </c>
      <c r="L6" t="s">
        <v>208</v>
      </c>
      <c r="M6" t="s">
        <v>199</v>
      </c>
      <c r="N6" t="s">
        <v>219</v>
      </c>
      <c r="O6" t="s">
        <v>219</v>
      </c>
    </row>
    <row r="7" spans="1:22" x14ac:dyDescent="0.45">
      <c r="A7" t="s">
        <v>220</v>
      </c>
      <c r="B7" t="s">
        <v>202</v>
      </c>
      <c r="C7" t="s">
        <v>176</v>
      </c>
      <c r="D7" t="s">
        <v>221</v>
      </c>
      <c r="E7" t="s">
        <v>191</v>
      </c>
      <c r="F7" t="s">
        <v>222</v>
      </c>
      <c r="G7" t="s">
        <v>223</v>
      </c>
      <c r="H7" t="s">
        <v>193</v>
      </c>
      <c r="I7" t="s">
        <v>196</v>
      </c>
      <c r="J7" t="s">
        <v>224</v>
      </c>
      <c r="K7" t="s">
        <v>182</v>
      </c>
      <c r="L7" t="s">
        <v>225</v>
      </c>
      <c r="M7" t="s">
        <v>226</v>
      </c>
      <c r="N7" t="s">
        <v>227</v>
      </c>
      <c r="O7" t="s">
        <v>228</v>
      </c>
    </row>
    <row r="8" spans="1:22" x14ac:dyDescent="0.45">
      <c r="A8" t="s">
        <v>229</v>
      </c>
      <c r="B8" t="s">
        <v>213</v>
      </c>
      <c r="C8" t="s">
        <v>213</v>
      </c>
      <c r="D8" t="s">
        <v>230</v>
      </c>
      <c r="E8" t="s">
        <v>191</v>
      </c>
      <c r="F8" t="s">
        <v>222</v>
      </c>
      <c r="G8" t="s">
        <v>216</v>
      </c>
      <c r="H8" t="s">
        <v>231</v>
      </c>
      <c r="I8" t="s">
        <v>232</v>
      </c>
      <c r="J8" t="s">
        <v>232</v>
      </c>
      <c r="K8" t="s">
        <v>196</v>
      </c>
      <c r="L8" t="s">
        <v>218</v>
      </c>
      <c r="M8" t="s">
        <v>233</v>
      </c>
      <c r="N8" t="s">
        <v>234</v>
      </c>
      <c r="O8" t="s">
        <v>234</v>
      </c>
      <c r="Q8" s="26" t="s">
        <v>475</v>
      </c>
      <c r="R8" s="36">
        <f>U9</f>
        <v>0.27671232876712326</v>
      </c>
      <c r="T8" s="34" t="s">
        <v>480</v>
      </c>
      <c r="U8" s="34" t="s">
        <v>481</v>
      </c>
      <c r="V8" s="34" t="s">
        <v>486</v>
      </c>
    </row>
    <row r="9" spans="1:22" x14ac:dyDescent="0.45">
      <c r="A9" t="s">
        <v>235</v>
      </c>
      <c r="B9" t="s">
        <v>202</v>
      </c>
      <c r="C9" t="s">
        <v>202</v>
      </c>
      <c r="D9" t="s">
        <v>189</v>
      </c>
      <c r="E9" t="s">
        <v>236</v>
      </c>
      <c r="F9" t="s">
        <v>237</v>
      </c>
      <c r="G9" t="s">
        <v>179</v>
      </c>
      <c r="H9" t="s">
        <v>179</v>
      </c>
      <c r="I9" t="s">
        <v>238</v>
      </c>
      <c r="J9" t="s">
        <v>239</v>
      </c>
      <c r="K9" t="s">
        <v>240</v>
      </c>
      <c r="L9" t="s">
        <v>207</v>
      </c>
      <c r="M9" t="s">
        <v>233</v>
      </c>
      <c r="N9" t="s">
        <v>241</v>
      </c>
      <c r="O9" t="s">
        <v>241</v>
      </c>
      <c r="Q9" s="26" t="s">
        <v>482</v>
      </c>
      <c r="R9" s="36">
        <v>0.25</v>
      </c>
      <c r="T9" s="37">
        <v>46311</v>
      </c>
      <c r="U9" s="35">
        <f t="shared" ref="U9:U14" si="0">(T9-$S$5)/365</f>
        <v>0.27671232876712326</v>
      </c>
      <c r="V9" s="35">
        <v>3.8856438458739766</v>
      </c>
    </row>
    <row r="10" spans="1:22" x14ac:dyDescent="0.45">
      <c r="A10" t="s">
        <v>242</v>
      </c>
      <c r="B10" t="s">
        <v>202</v>
      </c>
      <c r="C10" t="s">
        <v>213</v>
      </c>
      <c r="D10" t="s">
        <v>189</v>
      </c>
      <c r="E10" t="s">
        <v>243</v>
      </c>
      <c r="F10" t="s">
        <v>244</v>
      </c>
      <c r="G10" t="s">
        <v>194</v>
      </c>
      <c r="H10" t="s">
        <v>205</v>
      </c>
      <c r="I10" t="s">
        <v>239</v>
      </c>
      <c r="J10" t="s">
        <v>195</v>
      </c>
      <c r="K10" t="s">
        <v>224</v>
      </c>
      <c r="L10" t="s">
        <v>245</v>
      </c>
      <c r="M10" t="s">
        <v>185</v>
      </c>
      <c r="N10" t="s">
        <v>241</v>
      </c>
      <c r="O10" t="s">
        <v>234</v>
      </c>
      <c r="Q10" s="26" t="s">
        <v>483</v>
      </c>
      <c r="R10" s="36">
        <v>0.3333333</v>
      </c>
      <c r="T10" s="37">
        <v>46402</v>
      </c>
      <c r="U10" s="35">
        <f t="shared" si="0"/>
        <v>0.52602739726027392</v>
      </c>
      <c r="V10" s="35">
        <v>3.9936438356164383</v>
      </c>
    </row>
    <row r="11" spans="1:22" x14ac:dyDescent="0.45">
      <c r="A11" t="s">
        <v>246</v>
      </c>
      <c r="B11" t="s">
        <v>247</v>
      </c>
      <c r="C11" t="s">
        <v>213</v>
      </c>
      <c r="D11" t="s">
        <v>230</v>
      </c>
      <c r="E11" t="s">
        <v>215</v>
      </c>
      <c r="F11" t="s">
        <v>244</v>
      </c>
      <c r="G11" t="s">
        <v>194</v>
      </c>
      <c r="H11" t="s">
        <v>180</v>
      </c>
      <c r="I11" t="s">
        <v>248</v>
      </c>
      <c r="J11" t="s">
        <v>224</v>
      </c>
      <c r="K11" t="s">
        <v>217</v>
      </c>
      <c r="L11" t="s">
        <v>249</v>
      </c>
      <c r="M11" t="s">
        <v>250</v>
      </c>
      <c r="N11" t="s">
        <v>241</v>
      </c>
      <c r="O11" t="s">
        <v>234</v>
      </c>
      <c r="Q11" s="26" t="s">
        <v>484</v>
      </c>
      <c r="R11" s="36">
        <v>3.86</v>
      </c>
      <c r="T11" s="37">
        <v>46465</v>
      </c>
      <c r="U11" s="35">
        <f t="shared" si="0"/>
        <v>0.69863013698630139</v>
      </c>
      <c r="V11" s="35">
        <v>4.0178082191780824</v>
      </c>
    </row>
    <row r="12" spans="1:22" x14ac:dyDescent="0.45">
      <c r="A12" t="s">
        <v>251</v>
      </c>
      <c r="B12" t="s">
        <v>252</v>
      </c>
      <c r="C12" t="s">
        <v>213</v>
      </c>
      <c r="D12" t="s">
        <v>230</v>
      </c>
      <c r="E12" t="s">
        <v>215</v>
      </c>
      <c r="F12" t="s">
        <v>237</v>
      </c>
      <c r="G12" t="s">
        <v>205</v>
      </c>
      <c r="H12" t="s">
        <v>223</v>
      </c>
      <c r="I12" t="s">
        <v>206</v>
      </c>
      <c r="J12" t="s">
        <v>253</v>
      </c>
      <c r="K12" t="s">
        <v>184</v>
      </c>
      <c r="L12" t="s">
        <v>233</v>
      </c>
      <c r="M12" t="s">
        <v>254</v>
      </c>
      <c r="N12" t="s">
        <v>255</v>
      </c>
      <c r="O12" t="s">
        <v>256</v>
      </c>
      <c r="Q12" s="26" t="s">
        <v>485</v>
      </c>
      <c r="R12" s="36">
        <v>3.94</v>
      </c>
      <c r="T12" s="37">
        <v>46555</v>
      </c>
      <c r="U12" s="35">
        <f t="shared" si="0"/>
        <v>0.9452054794520548</v>
      </c>
      <c r="V12" s="35">
        <v>4.0523287671232877</v>
      </c>
    </row>
    <row r="13" spans="1:22" x14ac:dyDescent="0.45">
      <c r="A13" t="s">
        <v>257</v>
      </c>
      <c r="B13" t="s">
        <v>247</v>
      </c>
      <c r="C13" t="s">
        <v>213</v>
      </c>
      <c r="D13" t="s">
        <v>221</v>
      </c>
      <c r="E13" t="s">
        <v>215</v>
      </c>
      <c r="F13" t="s">
        <v>237</v>
      </c>
      <c r="G13" t="s">
        <v>193</v>
      </c>
      <c r="H13" t="s">
        <v>258</v>
      </c>
      <c r="I13" t="s">
        <v>218</v>
      </c>
      <c r="J13" t="s">
        <v>259</v>
      </c>
      <c r="K13" t="s">
        <v>260</v>
      </c>
      <c r="L13" t="s">
        <v>261</v>
      </c>
      <c r="M13" t="s">
        <v>262</v>
      </c>
      <c r="N13" t="s">
        <v>219</v>
      </c>
      <c r="O13" t="s">
        <v>263</v>
      </c>
      <c r="T13" s="37">
        <v>46647</v>
      </c>
      <c r="U13" s="35">
        <f t="shared" si="0"/>
        <v>1.1972602739726028</v>
      </c>
      <c r="V13" s="35">
        <v>4.0856438356164384</v>
      </c>
    </row>
    <row r="14" spans="1:22" x14ac:dyDescent="0.45">
      <c r="A14" t="s">
        <v>264</v>
      </c>
      <c r="B14" t="s">
        <v>175</v>
      </c>
      <c r="C14" t="s">
        <v>175</v>
      </c>
      <c r="D14" t="s">
        <v>176</v>
      </c>
      <c r="E14" t="s">
        <v>236</v>
      </c>
      <c r="F14" t="s">
        <v>215</v>
      </c>
      <c r="G14" t="s">
        <v>222</v>
      </c>
      <c r="H14" t="s">
        <v>216</v>
      </c>
      <c r="I14" t="s">
        <v>182</v>
      </c>
      <c r="J14" t="s">
        <v>182</v>
      </c>
      <c r="K14" t="s">
        <v>207</v>
      </c>
      <c r="L14" t="s">
        <v>265</v>
      </c>
      <c r="M14" t="s">
        <v>266</v>
      </c>
      <c r="N14" t="s">
        <v>228</v>
      </c>
      <c r="O14" t="s">
        <v>267</v>
      </c>
      <c r="Q14" s="26" t="s">
        <v>478</v>
      </c>
      <c r="R14" s="36">
        <f>R11+((R8-R9)/(R10-R9))*(R12-R11)</f>
        <v>3.8856438458739766</v>
      </c>
      <c r="T14" s="37">
        <v>46738</v>
      </c>
      <c r="U14" s="35">
        <f t="shared" si="0"/>
        <v>1.4465753424657535</v>
      </c>
      <c r="V14" s="35">
        <v>4.1180547945205479</v>
      </c>
    </row>
    <row r="15" spans="1:22" x14ac:dyDescent="0.45">
      <c r="A15" t="s">
        <v>268</v>
      </c>
      <c r="B15" t="s">
        <v>269</v>
      </c>
      <c r="C15" t="s">
        <v>202</v>
      </c>
      <c r="D15" t="s">
        <v>176</v>
      </c>
      <c r="E15" t="s">
        <v>236</v>
      </c>
      <c r="F15" t="s">
        <v>215</v>
      </c>
      <c r="G15" t="s">
        <v>204</v>
      </c>
      <c r="H15" t="s">
        <v>193</v>
      </c>
      <c r="I15" t="s">
        <v>270</v>
      </c>
      <c r="J15" t="s">
        <v>207</v>
      </c>
      <c r="K15" t="s">
        <v>184</v>
      </c>
      <c r="L15" t="s">
        <v>271</v>
      </c>
      <c r="M15" t="s">
        <v>209</v>
      </c>
      <c r="N15" t="s">
        <v>263</v>
      </c>
      <c r="O15" t="s">
        <v>227</v>
      </c>
    </row>
    <row r="16" spans="1:22" x14ac:dyDescent="0.45">
      <c r="A16" t="s">
        <v>272</v>
      </c>
      <c r="B16" t="s">
        <v>212</v>
      </c>
      <c r="C16" t="s">
        <v>175</v>
      </c>
      <c r="D16" t="s">
        <v>213</v>
      </c>
      <c r="E16" t="s">
        <v>273</v>
      </c>
      <c r="F16" t="s">
        <v>273</v>
      </c>
      <c r="G16" t="s">
        <v>190</v>
      </c>
      <c r="H16" t="s">
        <v>243</v>
      </c>
      <c r="I16" t="s">
        <v>274</v>
      </c>
      <c r="J16" t="s">
        <v>275</v>
      </c>
      <c r="K16" t="s">
        <v>206</v>
      </c>
      <c r="L16" t="s">
        <v>249</v>
      </c>
      <c r="M16" t="s">
        <v>276</v>
      </c>
      <c r="N16" t="s">
        <v>277</v>
      </c>
      <c r="O16" t="s">
        <v>227</v>
      </c>
    </row>
    <row r="17" spans="1:19" x14ac:dyDescent="0.45">
      <c r="A17" t="s">
        <v>278</v>
      </c>
      <c r="B17" t="s">
        <v>175</v>
      </c>
      <c r="C17" t="s">
        <v>202</v>
      </c>
      <c r="D17" t="s">
        <v>213</v>
      </c>
      <c r="E17" t="s">
        <v>273</v>
      </c>
      <c r="F17" t="s">
        <v>273</v>
      </c>
      <c r="G17" t="s">
        <v>190</v>
      </c>
      <c r="H17" t="s">
        <v>243</v>
      </c>
      <c r="I17" t="s">
        <v>238</v>
      </c>
      <c r="J17" t="s">
        <v>232</v>
      </c>
      <c r="K17" t="s">
        <v>183</v>
      </c>
      <c r="L17" t="s">
        <v>279</v>
      </c>
      <c r="M17" t="s">
        <v>280</v>
      </c>
      <c r="N17" t="s">
        <v>219</v>
      </c>
      <c r="O17" t="s">
        <v>219</v>
      </c>
    </row>
    <row r="18" spans="1:19" x14ac:dyDescent="0.45">
      <c r="A18" t="s">
        <v>281</v>
      </c>
      <c r="B18" t="s">
        <v>175</v>
      </c>
      <c r="C18" t="s">
        <v>202</v>
      </c>
      <c r="D18" t="s">
        <v>202</v>
      </c>
      <c r="E18" t="s">
        <v>282</v>
      </c>
      <c r="F18" t="s">
        <v>273</v>
      </c>
      <c r="G18" t="s">
        <v>177</v>
      </c>
      <c r="H18" t="s">
        <v>178</v>
      </c>
      <c r="I18" t="s">
        <v>239</v>
      </c>
      <c r="J18" t="s">
        <v>240</v>
      </c>
      <c r="K18" t="s">
        <v>197</v>
      </c>
      <c r="L18" t="s">
        <v>265</v>
      </c>
      <c r="M18" t="s">
        <v>199</v>
      </c>
      <c r="N18" t="s">
        <v>210</v>
      </c>
      <c r="O18" t="s">
        <v>219</v>
      </c>
    </row>
    <row r="19" spans="1:19" x14ac:dyDescent="0.45">
      <c r="A19" t="s">
        <v>283</v>
      </c>
      <c r="B19" t="s">
        <v>175</v>
      </c>
      <c r="C19" t="s">
        <v>175</v>
      </c>
      <c r="D19" t="s">
        <v>202</v>
      </c>
      <c r="E19" t="s">
        <v>282</v>
      </c>
      <c r="F19" t="s">
        <v>273</v>
      </c>
      <c r="G19" t="s">
        <v>190</v>
      </c>
      <c r="H19" t="s">
        <v>215</v>
      </c>
      <c r="I19" t="s">
        <v>274</v>
      </c>
      <c r="J19" t="s">
        <v>239</v>
      </c>
      <c r="K19" t="s">
        <v>183</v>
      </c>
      <c r="L19" t="s">
        <v>284</v>
      </c>
      <c r="M19" t="s">
        <v>285</v>
      </c>
      <c r="N19" t="s">
        <v>255</v>
      </c>
      <c r="O19" t="s">
        <v>263</v>
      </c>
      <c r="R19" s="33"/>
    </row>
    <row r="20" spans="1:19" x14ac:dyDescent="0.45">
      <c r="A20" t="s">
        <v>286</v>
      </c>
      <c r="B20" t="s">
        <v>175</v>
      </c>
      <c r="C20" t="s">
        <v>202</v>
      </c>
      <c r="D20" t="s">
        <v>214</v>
      </c>
      <c r="E20" t="s">
        <v>273</v>
      </c>
      <c r="F20" t="s">
        <v>287</v>
      </c>
      <c r="G20" t="s">
        <v>177</v>
      </c>
      <c r="H20" t="s">
        <v>244</v>
      </c>
      <c r="I20" t="s">
        <v>195</v>
      </c>
      <c r="J20" t="s">
        <v>217</v>
      </c>
      <c r="K20" t="s">
        <v>184</v>
      </c>
      <c r="L20" t="s">
        <v>185</v>
      </c>
      <c r="M20" t="s">
        <v>186</v>
      </c>
      <c r="N20" t="s">
        <v>288</v>
      </c>
      <c r="O20" t="s">
        <v>289</v>
      </c>
      <c r="R20" s="31"/>
    </row>
    <row r="21" spans="1:19" x14ac:dyDescent="0.45">
      <c r="A21" t="s">
        <v>290</v>
      </c>
      <c r="B21" t="s">
        <v>175</v>
      </c>
      <c r="C21" t="s">
        <v>175</v>
      </c>
      <c r="D21" t="s">
        <v>213</v>
      </c>
      <c r="E21" t="s">
        <v>273</v>
      </c>
      <c r="F21" t="s">
        <v>273</v>
      </c>
      <c r="G21" t="s">
        <v>177</v>
      </c>
      <c r="H21" t="s">
        <v>244</v>
      </c>
      <c r="I21" t="s">
        <v>195</v>
      </c>
      <c r="J21" t="s">
        <v>206</v>
      </c>
      <c r="K21" t="s">
        <v>245</v>
      </c>
      <c r="L21" t="s">
        <v>261</v>
      </c>
      <c r="M21" t="s">
        <v>291</v>
      </c>
      <c r="N21" t="s">
        <v>292</v>
      </c>
      <c r="O21" t="s">
        <v>293</v>
      </c>
      <c r="R21" s="31"/>
    </row>
    <row r="22" spans="1:19" x14ac:dyDescent="0.45">
      <c r="A22" t="s">
        <v>294</v>
      </c>
      <c r="B22" t="s">
        <v>202</v>
      </c>
      <c r="C22" t="s">
        <v>202</v>
      </c>
      <c r="D22" t="s">
        <v>213</v>
      </c>
      <c r="E22" t="s">
        <v>287</v>
      </c>
      <c r="F22" t="s">
        <v>273</v>
      </c>
      <c r="G22" t="s">
        <v>236</v>
      </c>
      <c r="H22" t="s">
        <v>215</v>
      </c>
      <c r="I22" t="s">
        <v>224</v>
      </c>
      <c r="J22" t="s">
        <v>197</v>
      </c>
      <c r="K22" t="s">
        <v>260</v>
      </c>
      <c r="L22" t="s">
        <v>295</v>
      </c>
      <c r="M22" t="s">
        <v>296</v>
      </c>
      <c r="N22" t="s">
        <v>187</v>
      </c>
      <c r="O22" t="s">
        <v>289</v>
      </c>
      <c r="R22" s="31"/>
    </row>
    <row r="23" spans="1:19" x14ac:dyDescent="0.45">
      <c r="A23" t="s">
        <v>297</v>
      </c>
      <c r="B23" t="s">
        <v>213</v>
      </c>
      <c r="C23" t="s">
        <v>213</v>
      </c>
      <c r="D23" t="s">
        <v>213</v>
      </c>
      <c r="E23" t="s">
        <v>282</v>
      </c>
      <c r="F23" t="s">
        <v>282</v>
      </c>
      <c r="G23" t="s">
        <v>190</v>
      </c>
      <c r="H23" t="s">
        <v>298</v>
      </c>
      <c r="I23" t="s">
        <v>217</v>
      </c>
      <c r="J23" t="s">
        <v>253</v>
      </c>
      <c r="K23" t="s">
        <v>260</v>
      </c>
      <c r="L23" t="s">
        <v>250</v>
      </c>
      <c r="M23" t="s">
        <v>186</v>
      </c>
      <c r="N23" t="s">
        <v>289</v>
      </c>
      <c r="O23" t="s">
        <v>293</v>
      </c>
      <c r="R23" s="31"/>
    </row>
    <row r="24" spans="1:19" x14ac:dyDescent="0.45">
      <c r="A24" t="s">
        <v>299</v>
      </c>
      <c r="B24" t="s">
        <v>213</v>
      </c>
      <c r="C24" t="s">
        <v>202</v>
      </c>
      <c r="D24" t="s">
        <v>202</v>
      </c>
      <c r="E24" t="s">
        <v>282</v>
      </c>
      <c r="F24" t="s">
        <v>230</v>
      </c>
      <c r="G24" t="s">
        <v>282</v>
      </c>
      <c r="H24" t="s">
        <v>177</v>
      </c>
      <c r="I24" t="s">
        <v>274</v>
      </c>
      <c r="J24" t="s">
        <v>232</v>
      </c>
      <c r="K24" t="s">
        <v>183</v>
      </c>
      <c r="L24" t="s">
        <v>279</v>
      </c>
      <c r="M24" t="s">
        <v>280</v>
      </c>
      <c r="N24" t="s">
        <v>210</v>
      </c>
      <c r="O24" t="s">
        <v>219</v>
      </c>
      <c r="R24" s="31"/>
    </row>
    <row r="25" spans="1:19" x14ac:dyDescent="0.45">
      <c r="A25" t="s">
        <v>300</v>
      </c>
      <c r="B25" t="s">
        <v>213</v>
      </c>
      <c r="C25" t="s">
        <v>213</v>
      </c>
      <c r="D25" t="s">
        <v>214</v>
      </c>
      <c r="E25" t="s">
        <v>282</v>
      </c>
      <c r="F25" t="s">
        <v>221</v>
      </c>
      <c r="G25" t="s">
        <v>282</v>
      </c>
      <c r="H25" t="s">
        <v>243</v>
      </c>
      <c r="I25" t="s">
        <v>275</v>
      </c>
      <c r="J25" t="s">
        <v>196</v>
      </c>
      <c r="K25" t="s">
        <v>197</v>
      </c>
      <c r="L25" t="s">
        <v>265</v>
      </c>
      <c r="M25" t="s">
        <v>209</v>
      </c>
      <c r="N25" t="s">
        <v>301</v>
      </c>
      <c r="O25" t="s">
        <v>200</v>
      </c>
      <c r="R25" s="31"/>
    </row>
    <row r="26" spans="1:19" x14ac:dyDescent="0.45">
      <c r="A26" t="s">
        <v>302</v>
      </c>
      <c r="B26" t="s">
        <v>214</v>
      </c>
      <c r="C26" t="s">
        <v>213</v>
      </c>
      <c r="D26" t="s">
        <v>203</v>
      </c>
      <c r="E26" t="s">
        <v>221</v>
      </c>
      <c r="F26" t="s">
        <v>273</v>
      </c>
      <c r="G26" t="s">
        <v>282</v>
      </c>
      <c r="H26" t="s">
        <v>177</v>
      </c>
      <c r="I26" t="s">
        <v>274</v>
      </c>
      <c r="J26" t="s">
        <v>239</v>
      </c>
      <c r="K26" t="s">
        <v>217</v>
      </c>
      <c r="L26" t="s">
        <v>284</v>
      </c>
      <c r="M26" t="s">
        <v>266</v>
      </c>
      <c r="N26" t="s">
        <v>219</v>
      </c>
      <c r="O26" t="s">
        <v>219</v>
      </c>
    </row>
    <row r="27" spans="1:19" x14ac:dyDescent="0.45">
      <c r="A27" t="s">
        <v>303</v>
      </c>
      <c r="B27" t="s">
        <v>214</v>
      </c>
      <c r="C27" t="s">
        <v>213</v>
      </c>
      <c r="D27" t="s">
        <v>203</v>
      </c>
      <c r="E27" t="s">
        <v>282</v>
      </c>
      <c r="F27" t="s">
        <v>287</v>
      </c>
      <c r="G27" t="s">
        <v>273</v>
      </c>
      <c r="H27" t="s">
        <v>236</v>
      </c>
      <c r="I27" t="s">
        <v>274</v>
      </c>
      <c r="J27" t="s">
        <v>239</v>
      </c>
      <c r="K27" t="s">
        <v>183</v>
      </c>
      <c r="L27" t="s">
        <v>279</v>
      </c>
      <c r="M27" t="s">
        <v>280</v>
      </c>
      <c r="N27" t="s">
        <v>200</v>
      </c>
      <c r="O27" t="s">
        <v>200</v>
      </c>
    </row>
    <row r="28" spans="1:19" x14ac:dyDescent="0.45">
      <c r="A28" t="s">
        <v>304</v>
      </c>
      <c r="B28" t="s">
        <v>214</v>
      </c>
      <c r="C28" t="s">
        <v>213</v>
      </c>
      <c r="D28" t="s">
        <v>213</v>
      </c>
      <c r="E28" t="s">
        <v>175</v>
      </c>
      <c r="F28" t="s">
        <v>282</v>
      </c>
      <c r="G28" t="s">
        <v>282</v>
      </c>
      <c r="H28" t="s">
        <v>273</v>
      </c>
      <c r="I28" t="s">
        <v>193</v>
      </c>
      <c r="J28" t="s">
        <v>181</v>
      </c>
      <c r="K28" t="s">
        <v>195</v>
      </c>
      <c r="L28" t="s">
        <v>184</v>
      </c>
      <c r="M28" t="s">
        <v>285</v>
      </c>
      <c r="N28" t="s">
        <v>210</v>
      </c>
      <c r="O28" t="s">
        <v>200</v>
      </c>
    </row>
    <row r="29" spans="1:19" x14ac:dyDescent="0.45">
      <c r="A29" t="s">
        <v>305</v>
      </c>
      <c r="B29" t="s">
        <v>214</v>
      </c>
      <c r="C29" t="s">
        <v>213</v>
      </c>
      <c r="D29" t="s">
        <v>213</v>
      </c>
      <c r="E29" t="s">
        <v>175</v>
      </c>
      <c r="F29" t="s">
        <v>282</v>
      </c>
      <c r="G29" t="s">
        <v>273</v>
      </c>
      <c r="H29" t="s">
        <v>287</v>
      </c>
      <c r="I29" t="s">
        <v>180</v>
      </c>
      <c r="J29" t="s">
        <v>238</v>
      </c>
      <c r="K29" t="s">
        <v>224</v>
      </c>
      <c r="L29" t="s">
        <v>260</v>
      </c>
      <c r="M29" t="s">
        <v>285</v>
      </c>
      <c r="N29" t="s">
        <v>210</v>
      </c>
      <c r="O29" t="s">
        <v>210</v>
      </c>
    </row>
    <row r="30" spans="1:19" x14ac:dyDescent="0.45">
      <c r="A30" t="s">
        <v>306</v>
      </c>
      <c r="B30" t="s">
        <v>214</v>
      </c>
      <c r="C30" t="s">
        <v>202</v>
      </c>
      <c r="D30" t="s">
        <v>175</v>
      </c>
      <c r="E30" t="s">
        <v>269</v>
      </c>
      <c r="F30" t="s">
        <v>221</v>
      </c>
      <c r="G30" t="s">
        <v>273</v>
      </c>
      <c r="H30" t="s">
        <v>287</v>
      </c>
      <c r="I30" t="s">
        <v>216</v>
      </c>
      <c r="J30" t="s">
        <v>239</v>
      </c>
      <c r="K30" t="s">
        <v>217</v>
      </c>
      <c r="L30" t="s">
        <v>279</v>
      </c>
      <c r="M30" t="s">
        <v>199</v>
      </c>
      <c r="N30" t="s">
        <v>293</v>
      </c>
      <c r="O30" t="s">
        <v>293</v>
      </c>
    </row>
    <row r="31" spans="1:19" x14ac:dyDescent="0.45">
      <c r="A31" t="s">
        <v>307</v>
      </c>
      <c r="B31" t="s">
        <v>214</v>
      </c>
      <c r="C31" t="s">
        <v>202</v>
      </c>
      <c r="D31" t="s">
        <v>175</v>
      </c>
      <c r="E31" t="s">
        <v>269</v>
      </c>
      <c r="F31" t="s">
        <v>282</v>
      </c>
      <c r="G31" t="s">
        <v>287</v>
      </c>
      <c r="H31" t="s">
        <v>177</v>
      </c>
      <c r="I31" t="s">
        <v>223</v>
      </c>
      <c r="J31" t="s">
        <v>232</v>
      </c>
      <c r="K31" t="s">
        <v>182</v>
      </c>
      <c r="L31" t="s">
        <v>198</v>
      </c>
      <c r="M31" t="s">
        <v>254</v>
      </c>
      <c r="N31" t="s">
        <v>289</v>
      </c>
      <c r="O31" t="s">
        <v>289</v>
      </c>
      <c r="S31" s="26"/>
    </row>
    <row r="32" spans="1:19" x14ac:dyDescent="0.45">
      <c r="A32" t="s">
        <v>308</v>
      </c>
      <c r="B32" t="s">
        <v>214</v>
      </c>
      <c r="C32" t="s">
        <v>175</v>
      </c>
      <c r="D32" t="s">
        <v>175</v>
      </c>
      <c r="E32" t="s">
        <v>269</v>
      </c>
      <c r="F32" t="s">
        <v>282</v>
      </c>
      <c r="G32" t="s">
        <v>273</v>
      </c>
      <c r="H32" t="s">
        <v>178</v>
      </c>
      <c r="I32" t="s">
        <v>195</v>
      </c>
      <c r="J32" t="s">
        <v>183</v>
      </c>
      <c r="K32" t="s">
        <v>184</v>
      </c>
      <c r="L32" t="s">
        <v>250</v>
      </c>
      <c r="M32" t="s">
        <v>296</v>
      </c>
      <c r="N32" t="s">
        <v>309</v>
      </c>
      <c r="O32" t="s">
        <v>310</v>
      </c>
    </row>
    <row r="33" spans="1:15" x14ac:dyDescent="0.45">
      <c r="A33" t="s">
        <v>311</v>
      </c>
      <c r="B33" t="s">
        <v>214</v>
      </c>
      <c r="C33" t="s">
        <v>269</v>
      </c>
      <c r="D33" t="s">
        <v>175</v>
      </c>
      <c r="E33" t="s">
        <v>269</v>
      </c>
      <c r="F33" t="s">
        <v>230</v>
      </c>
      <c r="G33" t="s">
        <v>282</v>
      </c>
      <c r="H33" t="s">
        <v>236</v>
      </c>
      <c r="I33" t="s">
        <v>275</v>
      </c>
      <c r="J33" t="s">
        <v>195</v>
      </c>
      <c r="K33" t="s">
        <v>259</v>
      </c>
      <c r="L33" t="s">
        <v>250</v>
      </c>
      <c r="M33" t="s">
        <v>312</v>
      </c>
      <c r="N33" t="s">
        <v>313</v>
      </c>
      <c r="O33" t="s">
        <v>314</v>
      </c>
    </row>
    <row r="34" spans="1:15" x14ac:dyDescent="0.45">
      <c r="A34" t="s">
        <v>315</v>
      </c>
      <c r="B34" t="s">
        <v>252</v>
      </c>
      <c r="C34" t="s">
        <v>252</v>
      </c>
      <c r="D34" t="s">
        <v>252</v>
      </c>
      <c r="E34" t="s">
        <v>252</v>
      </c>
      <c r="F34" t="s">
        <v>176</v>
      </c>
      <c r="G34" t="s">
        <v>189</v>
      </c>
      <c r="H34" t="s">
        <v>273</v>
      </c>
      <c r="I34" t="s">
        <v>258</v>
      </c>
      <c r="J34" t="s">
        <v>248</v>
      </c>
      <c r="K34" t="s">
        <v>253</v>
      </c>
      <c r="L34" t="s">
        <v>261</v>
      </c>
      <c r="M34" t="s">
        <v>312</v>
      </c>
      <c r="N34" t="s">
        <v>314</v>
      </c>
      <c r="O34" t="s">
        <v>316</v>
      </c>
    </row>
    <row r="35" spans="1:15" x14ac:dyDescent="0.45">
      <c r="A35" t="s">
        <v>317</v>
      </c>
      <c r="B35" t="s">
        <v>247</v>
      </c>
      <c r="C35" t="s">
        <v>247</v>
      </c>
      <c r="D35" t="s">
        <v>247</v>
      </c>
      <c r="E35" t="s">
        <v>212</v>
      </c>
      <c r="F35" t="s">
        <v>189</v>
      </c>
      <c r="G35" t="s">
        <v>221</v>
      </c>
      <c r="H35" t="s">
        <v>236</v>
      </c>
      <c r="I35" t="s">
        <v>195</v>
      </c>
      <c r="J35" t="s">
        <v>270</v>
      </c>
      <c r="K35" t="s">
        <v>279</v>
      </c>
      <c r="L35" t="s">
        <v>254</v>
      </c>
      <c r="M35" t="s">
        <v>318</v>
      </c>
      <c r="N35" t="s">
        <v>319</v>
      </c>
      <c r="O35" t="s">
        <v>320</v>
      </c>
    </row>
    <row r="36" spans="1:15" x14ac:dyDescent="0.45">
      <c r="A36" t="s">
        <v>321</v>
      </c>
      <c r="B36" t="s">
        <v>175</v>
      </c>
      <c r="C36" t="s">
        <v>269</v>
      </c>
      <c r="D36" t="s">
        <v>269</v>
      </c>
      <c r="E36" t="s">
        <v>269</v>
      </c>
      <c r="F36" t="s">
        <v>230</v>
      </c>
      <c r="G36" t="s">
        <v>221</v>
      </c>
      <c r="H36" t="s">
        <v>190</v>
      </c>
      <c r="I36" t="s">
        <v>238</v>
      </c>
      <c r="J36" t="s">
        <v>196</v>
      </c>
      <c r="K36" t="s">
        <v>184</v>
      </c>
      <c r="L36" t="s">
        <v>276</v>
      </c>
      <c r="M36" t="s">
        <v>322</v>
      </c>
      <c r="N36" t="s">
        <v>323</v>
      </c>
      <c r="O36" t="s">
        <v>323</v>
      </c>
    </row>
    <row r="37" spans="1:15" x14ac:dyDescent="0.45">
      <c r="A37" t="s">
        <v>324</v>
      </c>
      <c r="B37" t="s">
        <v>213</v>
      </c>
      <c r="C37" t="s">
        <v>202</v>
      </c>
      <c r="D37" t="s">
        <v>175</v>
      </c>
      <c r="E37" t="s">
        <v>175</v>
      </c>
      <c r="F37" t="s">
        <v>230</v>
      </c>
      <c r="G37" t="s">
        <v>221</v>
      </c>
      <c r="H37" t="s">
        <v>177</v>
      </c>
      <c r="I37" t="s">
        <v>239</v>
      </c>
      <c r="J37" t="s">
        <v>196</v>
      </c>
      <c r="K37" t="s">
        <v>245</v>
      </c>
      <c r="L37" t="s">
        <v>276</v>
      </c>
      <c r="M37" t="s">
        <v>325</v>
      </c>
      <c r="N37" t="s">
        <v>323</v>
      </c>
      <c r="O37" t="s">
        <v>326</v>
      </c>
    </row>
    <row r="38" spans="1:15" x14ac:dyDescent="0.45">
      <c r="A38" t="s">
        <v>327</v>
      </c>
      <c r="B38" t="s">
        <v>214</v>
      </c>
      <c r="C38" t="s">
        <v>213</v>
      </c>
      <c r="D38" t="s">
        <v>202</v>
      </c>
      <c r="E38" t="s">
        <v>175</v>
      </c>
      <c r="F38" t="s">
        <v>230</v>
      </c>
      <c r="G38" t="s">
        <v>230</v>
      </c>
      <c r="H38" t="s">
        <v>273</v>
      </c>
      <c r="I38" t="s">
        <v>216</v>
      </c>
      <c r="J38" t="s">
        <v>258</v>
      </c>
      <c r="K38" t="s">
        <v>195</v>
      </c>
      <c r="L38" t="s">
        <v>260</v>
      </c>
      <c r="M38" t="s">
        <v>280</v>
      </c>
      <c r="N38" t="s">
        <v>293</v>
      </c>
      <c r="O38" t="s">
        <v>292</v>
      </c>
    </row>
    <row r="39" spans="1:15" x14ac:dyDescent="0.45">
      <c r="A39" t="s">
        <v>328</v>
      </c>
      <c r="B39" t="s">
        <v>213</v>
      </c>
      <c r="C39" t="s">
        <v>213</v>
      </c>
      <c r="D39" t="s">
        <v>202</v>
      </c>
      <c r="E39" t="s">
        <v>175</v>
      </c>
      <c r="F39" t="s">
        <v>230</v>
      </c>
      <c r="G39" t="s">
        <v>221</v>
      </c>
      <c r="H39" t="s">
        <v>273</v>
      </c>
      <c r="I39" t="s">
        <v>193</v>
      </c>
      <c r="J39" t="s">
        <v>216</v>
      </c>
      <c r="K39" t="s">
        <v>240</v>
      </c>
      <c r="L39" t="s">
        <v>249</v>
      </c>
      <c r="M39" t="s">
        <v>266</v>
      </c>
      <c r="N39" t="s">
        <v>289</v>
      </c>
      <c r="O39" t="s">
        <v>289</v>
      </c>
    </row>
    <row r="40" spans="1:15" x14ac:dyDescent="0.45">
      <c r="A40" t="s">
        <v>329</v>
      </c>
      <c r="B40" t="s">
        <v>213</v>
      </c>
      <c r="C40" t="s">
        <v>214</v>
      </c>
      <c r="D40" t="s">
        <v>175</v>
      </c>
      <c r="E40" t="s">
        <v>202</v>
      </c>
      <c r="F40" t="s">
        <v>221</v>
      </c>
      <c r="G40" t="s">
        <v>221</v>
      </c>
      <c r="H40" t="s">
        <v>287</v>
      </c>
      <c r="I40" t="s">
        <v>216</v>
      </c>
      <c r="J40" t="s">
        <v>223</v>
      </c>
      <c r="K40" t="s">
        <v>240</v>
      </c>
      <c r="L40" t="s">
        <v>260</v>
      </c>
      <c r="M40" t="s">
        <v>266</v>
      </c>
      <c r="N40" t="s">
        <v>292</v>
      </c>
      <c r="O40" t="s">
        <v>289</v>
      </c>
    </row>
    <row r="41" spans="1:15" x14ac:dyDescent="0.45">
      <c r="A41" t="s">
        <v>330</v>
      </c>
      <c r="B41" t="s">
        <v>213</v>
      </c>
      <c r="C41" t="s">
        <v>202</v>
      </c>
      <c r="D41" t="s">
        <v>175</v>
      </c>
      <c r="E41" t="s">
        <v>202</v>
      </c>
      <c r="F41" t="s">
        <v>221</v>
      </c>
      <c r="G41" t="s">
        <v>221</v>
      </c>
      <c r="H41" t="s">
        <v>273</v>
      </c>
      <c r="I41" t="s">
        <v>194</v>
      </c>
      <c r="J41" t="s">
        <v>205</v>
      </c>
      <c r="K41" t="s">
        <v>238</v>
      </c>
      <c r="L41" t="s">
        <v>218</v>
      </c>
      <c r="M41" t="s">
        <v>295</v>
      </c>
      <c r="N41" t="s">
        <v>219</v>
      </c>
      <c r="O41" t="s">
        <v>210</v>
      </c>
    </row>
    <row r="42" spans="1:15" x14ac:dyDescent="0.45">
      <c r="A42" t="s">
        <v>331</v>
      </c>
      <c r="B42" t="s">
        <v>213</v>
      </c>
      <c r="C42" t="s">
        <v>202</v>
      </c>
      <c r="D42" t="s">
        <v>269</v>
      </c>
      <c r="E42" t="s">
        <v>175</v>
      </c>
      <c r="F42" t="s">
        <v>189</v>
      </c>
      <c r="G42" t="s">
        <v>176</v>
      </c>
      <c r="H42" t="s">
        <v>189</v>
      </c>
      <c r="I42" t="s">
        <v>244</v>
      </c>
      <c r="J42" t="s">
        <v>222</v>
      </c>
      <c r="K42" t="s">
        <v>332</v>
      </c>
      <c r="L42" t="s">
        <v>182</v>
      </c>
      <c r="M42" t="s">
        <v>233</v>
      </c>
      <c r="N42" t="s">
        <v>227</v>
      </c>
      <c r="O42" t="s">
        <v>263</v>
      </c>
    </row>
    <row r="43" spans="1:15" x14ac:dyDescent="0.45">
      <c r="A43" t="s">
        <v>333</v>
      </c>
      <c r="B43" t="s">
        <v>214</v>
      </c>
      <c r="C43" t="s">
        <v>202</v>
      </c>
      <c r="D43" t="s">
        <v>175</v>
      </c>
      <c r="E43" t="s">
        <v>175</v>
      </c>
      <c r="F43" t="s">
        <v>189</v>
      </c>
      <c r="G43" t="s">
        <v>176</v>
      </c>
      <c r="H43" t="s">
        <v>230</v>
      </c>
      <c r="I43" t="s">
        <v>222</v>
      </c>
      <c r="J43" t="s">
        <v>179</v>
      </c>
      <c r="K43" t="s">
        <v>258</v>
      </c>
      <c r="L43" t="s">
        <v>253</v>
      </c>
      <c r="M43" t="s">
        <v>250</v>
      </c>
      <c r="N43" t="s">
        <v>255</v>
      </c>
      <c r="O43" t="s">
        <v>219</v>
      </c>
    </row>
    <row r="44" spans="1:15" x14ac:dyDescent="0.45">
      <c r="A44" t="s">
        <v>334</v>
      </c>
      <c r="B44" t="s">
        <v>202</v>
      </c>
      <c r="C44" t="s">
        <v>202</v>
      </c>
      <c r="D44" t="s">
        <v>175</v>
      </c>
      <c r="E44" t="s">
        <v>175</v>
      </c>
      <c r="F44" t="s">
        <v>189</v>
      </c>
      <c r="G44" t="s">
        <v>176</v>
      </c>
      <c r="H44" t="s">
        <v>203</v>
      </c>
      <c r="I44" t="s">
        <v>191</v>
      </c>
      <c r="J44" t="s">
        <v>237</v>
      </c>
      <c r="K44" t="s">
        <v>180</v>
      </c>
      <c r="L44" t="s">
        <v>217</v>
      </c>
      <c r="M44" t="s">
        <v>335</v>
      </c>
      <c r="N44" t="s">
        <v>277</v>
      </c>
      <c r="O44" t="s">
        <v>256</v>
      </c>
    </row>
    <row r="45" spans="1:15" x14ac:dyDescent="0.45">
      <c r="A45" t="s">
        <v>336</v>
      </c>
      <c r="B45" t="s">
        <v>202</v>
      </c>
      <c r="C45" t="s">
        <v>202</v>
      </c>
      <c r="D45" t="s">
        <v>202</v>
      </c>
      <c r="E45" t="s">
        <v>175</v>
      </c>
      <c r="F45" t="s">
        <v>189</v>
      </c>
      <c r="G45" t="s">
        <v>189</v>
      </c>
      <c r="H45" t="s">
        <v>221</v>
      </c>
      <c r="I45" t="s">
        <v>192</v>
      </c>
      <c r="J45" t="s">
        <v>231</v>
      </c>
      <c r="K45" t="s">
        <v>275</v>
      </c>
      <c r="L45" t="s">
        <v>259</v>
      </c>
      <c r="M45" t="s">
        <v>276</v>
      </c>
      <c r="N45" t="s">
        <v>210</v>
      </c>
      <c r="O45" t="s">
        <v>210</v>
      </c>
    </row>
    <row r="46" spans="1:15" x14ac:dyDescent="0.45">
      <c r="A46" t="s">
        <v>337</v>
      </c>
      <c r="B46" t="s">
        <v>213</v>
      </c>
      <c r="C46" t="s">
        <v>202</v>
      </c>
      <c r="D46" t="s">
        <v>202</v>
      </c>
      <c r="E46" t="s">
        <v>202</v>
      </c>
      <c r="F46" t="s">
        <v>230</v>
      </c>
      <c r="G46" t="s">
        <v>230</v>
      </c>
      <c r="H46" t="s">
        <v>282</v>
      </c>
      <c r="I46" t="s">
        <v>194</v>
      </c>
      <c r="J46" t="s">
        <v>193</v>
      </c>
      <c r="K46" t="s">
        <v>275</v>
      </c>
      <c r="L46" t="s">
        <v>245</v>
      </c>
      <c r="M46" t="s">
        <v>285</v>
      </c>
      <c r="N46" t="s">
        <v>293</v>
      </c>
      <c r="O46" t="s">
        <v>292</v>
      </c>
    </row>
    <row r="47" spans="1:15" x14ac:dyDescent="0.45">
      <c r="A47" t="s">
        <v>338</v>
      </c>
      <c r="B47" t="s">
        <v>213</v>
      </c>
      <c r="C47" t="s">
        <v>213</v>
      </c>
      <c r="D47" t="s">
        <v>202</v>
      </c>
      <c r="E47" t="s">
        <v>269</v>
      </c>
      <c r="F47" t="s">
        <v>230</v>
      </c>
      <c r="G47" t="s">
        <v>213</v>
      </c>
      <c r="H47" t="s">
        <v>203</v>
      </c>
      <c r="I47" t="s">
        <v>298</v>
      </c>
      <c r="J47" t="s">
        <v>204</v>
      </c>
      <c r="K47" t="s">
        <v>332</v>
      </c>
      <c r="L47" t="s">
        <v>270</v>
      </c>
      <c r="M47" t="s">
        <v>261</v>
      </c>
      <c r="N47" t="s">
        <v>255</v>
      </c>
      <c r="O47" t="s">
        <v>219</v>
      </c>
    </row>
    <row r="48" spans="1:15" x14ac:dyDescent="0.45">
      <c r="A48" t="s">
        <v>339</v>
      </c>
      <c r="B48" t="s">
        <v>214</v>
      </c>
      <c r="C48" t="s">
        <v>213</v>
      </c>
      <c r="D48" t="s">
        <v>213</v>
      </c>
      <c r="E48" t="s">
        <v>269</v>
      </c>
      <c r="F48" t="s">
        <v>230</v>
      </c>
      <c r="G48" t="s">
        <v>213</v>
      </c>
      <c r="H48" t="s">
        <v>214</v>
      </c>
      <c r="I48" t="s">
        <v>298</v>
      </c>
      <c r="J48" t="s">
        <v>204</v>
      </c>
      <c r="K48" t="s">
        <v>332</v>
      </c>
      <c r="L48" t="s">
        <v>270</v>
      </c>
      <c r="M48" t="s">
        <v>185</v>
      </c>
      <c r="N48" t="s">
        <v>219</v>
      </c>
      <c r="O48" t="s">
        <v>210</v>
      </c>
    </row>
    <row r="49" spans="1:15" x14ac:dyDescent="0.45">
      <c r="A49" t="s">
        <v>340</v>
      </c>
      <c r="B49" t="s">
        <v>269</v>
      </c>
      <c r="C49" t="s">
        <v>202</v>
      </c>
      <c r="D49" t="s">
        <v>214</v>
      </c>
      <c r="E49" t="s">
        <v>269</v>
      </c>
      <c r="F49" t="s">
        <v>221</v>
      </c>
      <c r="G49" t="s">
        <v>203</v>
      </c>
      <c r="H49" t="s">
        <v>189</v>
      </c>
      <c r="I49" t="s">
        <v>222</v>
      </c>
      <c r="J49" t="s">
        <v>179</v>
      </c>
      <c r="K49" t="s">
        <v>274</v>
      </c>
      <c r="L49" t="s">
        <v>207</v>
      </c>
      <c r="M49" t="s">
        <v>295</v>
      </c>
      <c r="N49" t="s">
        <v>219</v>
      </c>
      <c r="O49" t="s">
        <v>210</v>
      </c>
    </row>
    <row r="50" spans="1:15" x14ac:dyDescent="0.45">
      <c r="A50" t="s">
        <v>341</v>
      </c>
      <c r="B50" t="s">
        <v>269</v>
      </c>
      <c r="C50" t="s">
        <v>202</v>
      </c>
      <c r="D50" t="s">
        <v>214</v>
      </c>
      <c r="E50" t="s">
        <v>269</v>
      </c>
      <c r="F50" t="s">
        <v>175</v>
      </c>
      <c r="G50" t="s">
        <v>214</v>
      </c>
      <c r="H50" t="s">
        <v>213</v>
      </c>
      <c r="I50" t="s">
        <v>243</v>
      </c>
      <c r="J50" t="s">
        <v>178</v>
      </c>
      <c r="K50" t="s">
        <v>231</v>
      </c>
      <c r="L50" t="s">
        <v>206</v>
      </c>
      <c r="M50" t="s">
        <v>335</v>
      </c>
      <c r="N50" t="s">
        <v>277</v>
      </c>
      <c r="O50" t="s">
        <v>256</v>
      </c>
    </row>
    <row r="51" spans="1:15" x14ac:dyDescent="0.45">
      <c r="A51" t="s">
        <v>342</v>
      </c>
      <c r="B51" t="s">
        <v>202</v>
      </c>
      <c r="C51" t="s">
        <v>214</v>
      </c>
      <c r="D51" t="s">
        <v>214</v>
      </c>
      <c r="E51" t="s">
        <v>269</v>
      </c>
      <c r="F51" t="s">
        <v>202</v>
      </c>
      <c r="G51" t="s">
        <v>214</v>
      </c>
      <c r="H51" t="s">
        <v>175</v>
      </c>
      <c r="I51" t="s">
        <v>282</v>
      </c>
      <c r="J51" t="s">
        <v>236</v>
      </c>
      <c r="K51" t="s">
        <v>179</v>
      </c>
      <c r="L51" t="s">
        <v>196</v>
      </c>
      <c r="M51" t="s">
        <v>208</v>
      </c>
      <c r="N51" t="s">
        <v>277</v>
      </c>
      <c r="O51" t="s">
        <v>256</v>
      </c>
    </row>
    <row r="52" spans="1:15" x14ac:dyDescent="0.45">
      <c r="A52" t="s">
        <v>343</v>
      </c>
      <c r="B52" t="s">
        <v>175</v>
      </c>
      <c r="C52" t="s">
        <v>214</v>
      </c>
      <c r="D52" t="s">
        <v>213</v>
      </c>
      <c r="E52" t="s">
        <v>175</v>
      </c>
      <c r="F52" t="s">
        <v>175</v>
      </c>
      <c r="G52" t="s">
        <v>213</v>
      </c>
      <c r="H52" t="s">
        <v>212</v>
      </c>
      <c r="I52" t="s">
        <v>282</v>
      </c>
      <c r="J52" t="s">
        <v>287</v>
      </c>
      <c r="K52" t="s">
        <v>222</v>
      </c>
      <c r="L52" t="s">
        <v>232</v>
      </c>
      <c r="M52" t="s">
        <v>284</v>
      </c>
      <c r="N52" t="s">
        <v>344</v>
      </c>
      <c r="O52" t="s">
        <v>228</v>
      </c>
    </row>
    <row r="53" spans="1:15" x14ac:dyDescent="0.45">
      <c r="A53" t="s">
        <v>345</v>
      </c>
      <c r="B53" t="s">
        <v>175</v>
      </c>
      <c r="C53" t="s">
        <v>214</v>
      </c>
      <c r="D53" t="s">
        <v>214</v>
      </c>
      <c r="E53" t="s">
        <v>175</v>
      </c>
      <c r="F53" t="s">
        <v>202</v>
      </c>
      <c r="G53" t="s">
        <v>214</v>
      </c>
      <c r="H53" t="s">
        <v>202</v>
      </c>
      <c r="I53" t="s">
        <v>236</v>
      </c>
      <c r="J53" t="s">
        <v>243</v>
      </c>
      <c r="K53" t="s">
        <v>205</v>
      </c>
      <c r="L53" t="s">
        <v>195</v>
      </c>
      <c r="M53" t="s">
        <v>265</v>
      </c>
      <c r="N53" t="s">
        <v>267</v>
      </c>
      <c r="O53" t="s">
        <v>277</v>
      </c>
    </row>
    <row r="54" spans="1:15" x14ac:dyDescent="0.45">
      <c r="A54" t="s">
        <v>346</v>
      </c>
      <c r="B54" t="s">
        <v>269</v>
      </c>
      <c r="C54" t="s">
        <v>213</v>
      </c>
      <c r="D54" t="s">
        <v>202</v>
      </c>
      <c r="E54" t="s">
        <v>175</v>
      </c>
      <c r="F54" t="s">
        <v>175</v>
      </c>
      <c r="G54" t="s">
        <v>214</v>
      </c>
      <c r="H54" t="s">
        <v>175</v>
      </c>
      <c r="I54" t="s">
        <v>273</v>
      </c>
      <c r="J54" t="s">
        <v>190</v>
      </c>
      <c r="K54" t="s">
        <v>204</v>
      </c>
      <c r="L54" t="s">
        <v>232</v>
      </c>
      <c r="M54" t="s">
        <v>225</v>
      </c>
      <c r="N54" t="s">
        <v>241</v>
      </c>
      <c r="O54" t="s">
        <v>267</v>
      </c>
    </row>
    <row r="55" spans="1:15" x14ac:dyDescent="0.45">
      <c r="A55" t="s">
        <v>347</v>
      </c>
      <c r="B55" t="s">
        <v>212</v>
      </c>
      <c r="C55" t="s">
        <v>214</v>
      </c>
      <c r="D55" t="s">
        <v>213</v>
      </c>
      <c r="E55" t="s">
        <v>175</v>
      </c>
      <c r="F55" t="s">
        <v>202</v>
      </c>
      <c r="G55" t="s">
        <v>203</v>
      </c>
      <c r="H55" t="s">
        <v>175</v>
      </c>
      <c r="I55" t="s">
        <v>282</v>
      </c>
      <c r="J55" t="s">
        <v>287</v>
      </c>
      <c r="K55" t="s">
        <v>204</v>
      </c>
      <c r="L55" t="s">
        <v>239</v>
      </c>
      <c r="M55" t="s">
        <v>225</v>
      </c>
      <c r="N55" t="s">
        <v>241</v>
      </c>
      <c r="O55" t="s">
        <v>348</v>
      </c>
    </row>
    <row r="56" spans="1:15" x14ac:dyDescent="0.45">
      <c r="A56" t="s">
        <v>349</v>
      </c>
      <c r="B56" t="s">
        <v>175</v>
      </c>
      <c r="C56" t="s">
        <v>202</v>
      </c>
      <c r="D56" t="s">
        <v>214</v>
      </c>
      <c r="E56" t="s">
        <v>213</v>
      </c>
      <c r="F56" t="s">
        <v>202</v>
      </c>
      <c r="G56" t="s">
        <v>214</v>
      </c>
      <c r="H56" t="s">
        <v>252</v>
      </c>
      <c r="I56" t="s">
        <v>214</v>
      </c>
      <c r="J56" t="s">
        <v>203</v>
      </c>
      <c r="K56" t="s">
        <v>178</v>
      </c>
      <c r="L56" t="s">
        <v>258</v>
      </c>
      <c r="M56" t="s">
        <v>245</v>
      </c>
      <c r="N56" t="s">
        <v>350</v>
      </c>
      <c r="O56" t="s">
        <v>344</v>
      </c>
    </row>
    <row r="57" spans="1:15" x14ac:dyDescent="0.45">
      <c r="A57" t="s">
        <v>351</v>
      </c>
      <c r="B57" t="s">
        <v>175</v>
      </c>
      <c r="C57" t="s">
        <v>202</v>
      </c>
      <c r="D57" t="s">
        <v>203</v>
      </c>
      <c r="E57" t="s">
        <v>202</v>
      </c>
      <c r="F57" t="s">
        <v>175</v>
      </c>
      <c r="G57" t="s">
        <v>175</v>
      </c>
      <c r="H57" t="s">
        <v>352</v>
      </c>
      <c r="I57" t="s">
        <v>213</v>
      </c>
      <c r="J57" t="s">
        <v>214</v>
      </c>
      <c r="K57" t="s">
        <v>243</v>
      </c>
      <c r="L57" t="s">
        <v>258</v>
      </c>
      <c r="M57" t="s">
        <v>245</v>
      </c>
      <c r="N57" t="s">
        <v>350</v>
      </c>
      <c r="O57" t="s">
        <v>344</v>
      </c>
    </row>
    <row r="58" spans="1:15" x14ac:dyDescent="0.45">
      <c r="A58" t="s">
        <v>353</v>
      </c>
      <c r="B58" t="s">
        <v>175</v>
      </c>
      <c r="C58" t="s">
        <v>202</v>
      </c>
      <c r="D58" t="s">
        <v>203</v>
      </c>
      <c r="E58" t="s">
        <v>202</v>
      </c>
      <c r="F58" t="s">
        <v>202</v>
      </c>
      <c r="G58" t="s">
        <v>213</v>
      </c>
      <c r="H58" t="s">
        <v>175</v>
      </c>
      <c r="I58" t="s">
        <v>282</v>
      </c>
      <c r="J58" t="s">
        <v>287</v>
      </c>
      <c r="K58" t="s">
        <v>204</v>
      </c>
      <c r="L58" t="s">
        <v>232</v>
      </c>
      <c r="M58" t="s">
        <v>279</v>
      </c>
      <c r="N58" t="s">
        <v>267</v>
      </c>
      <c r="O58" t="s">
        <v>227</v>
      </c>
    </row>
    <row r="59" spans="1:15" x14ac:dyDescent="0.45">
      <c r="A59" t="s">
        <v>354</v>
      </c>
      <c r="B59" t="s">
        <v>214</v>
      </c>
      <c r="C59" t="s">
        <v>214</v>
      </c>
      <c r="D59" t="s">
        <v>176</v>
      </c>
      <c r="E59" t="s">
        <v>213</v>
      </c>
      <c r="F59" t="s">
        <v>213</v>
      </c>
      <c r="G59" t="s">
        <v>214</v>
      </c>
      <c r="H59" t="s">
        <v>202</v>
      </c>
      <c r="I59" t="s">
        <v>230</v>
      </c>
      <c r="J59" t="s">
        <v>273</v>
      </c>
      <c r="K59" t="s">
        <v>244</v>
      </c>
      <c r="L59" t="s">
        <v>275</v>
      </c>
      <c r="M59" t="s">
        <v>260</v>
      </c>
      <c r="N59" t="s">
        <v>241</v>
      </c>
      <c r="O59" t="s">
        <v>348</v>
      </c>
    </row>
    <row r="60" spans="1:15" x14ac:dyDescent="0.45">
      <c r="A60" t="s">
        <v>355</v>
      </c>
      <c r="B60" t="s">
        <v>213</v>
      </c>
      <c r="C60" t="s">
        <v>214</v>
      </c>
      <c r="D60" t="s">
        <v>214</v>
      </c>
      <c r="E60" t="s">
        <v>213</v>
      </c>
      <c r="F60" t="s">
        <v>202</v>
      </c>
      <c r="G60" t="s">
        <v>203</v>
      </c>
      <c r="H60" t="s">
        <v>213</v>
      </c>
      <c r="I60" t="s">
        <v>230</v>
      </c>
      <c r="J60" t="s">
        <v>230</v>
      </c>
      <c r="K60" t="s">
        <v>191</v>
      </c>
      <c r="L60" t="s">
        <v>181</v>
      </c>
      <c r="M60" t="s">
        <v>245</v>
      </c>
      <c r="N60" t="s">
        <v>356</v>
      </c>
      <c r="O60" t="s">
        <v>241</v>
      </c>
    </row>
    <row r="61" spans="1:15" x14ac:dyDescent="0.45">
      <c r="A61" t="s">
        <v>357</v>
      </c>
      <c r="B61" t="s">
        <v>175</v>
      </c>
      <c r="C61" t="s">
        <v>213</v>
      </c>
      <c r="D61" t="s">
        <v>213</v>
      </c>
      <c r="E61" t="s">
        <v>213</v>
      </c>
      <c r="F61" t="s">
        <v>202</v>
      </c>
      <c r="G61" t="s">
        <v>176</v>
      </c>
      <c r="H61" t="s">
        <v>202</v>
      </c>
      <c r="I61" t="s">
        <v>282</v>
      </c>
      <c r="J61" t="s">
        <v>273</v>
      </c>
      <c r="K61" t="s">
        <v>222</v>
      </c>
      <c r="L61" t="s">
        <v>232</v>
      </c>
      <c r="M61" t="s">
        <v>225</v>
      </c>
      <c r="N61" t="s">
        <v>344</v>
      </c>
      <c r="O61" t="s">
        <v>267</v>
      </c>
    </row>
    <row r="62" spans="1:15" x14ac:dyDescent="0.45">
      <c r="A62" t="s">
        <v>358</v>
      </c>
      <c r="B62" t="s">
        <v>212</v>
      </c>
      <c r="C62" t="s">
        <v>175</v>
      </c>
      <c r="D62" t="s">
        <v>202</v>
      </c>
      <c r="E62" t="s">
        <v>175</v>
      </c>
      <c r="F62" t="s">
        <v>175</v>
      </c>
      <c r="G62" t="s">
        <v>214</v>
      </c>
      <c r="H62" t="s">
        <v>202</v>
      </c>
      <c r="I62" t="s">
        <v>190</v>
      </c>
      <c r="J62" t="s">
        <v>287</v>
      </c>
      <c r="K62" t="s">
        <v>179</v>
      </c>
      <c r="L62" t="s">
        <v>240</v>
      </c>
      <c r="M62" t="s">
        <v>284</v>
      </c>
      <c r="N62" t="s">
        <v>348</v>
      </c>
      <c r="O62" t="s">
        <v>228</v>
      </c>
    </row>
    <row r="63" spans="1:15" x14ac:dyDescent="0.45">
      <c r="A63" t="s">
        <v>359</v>
      </c>
      <c r="B63" t="s">
        <v>247</v>
      </c>
      <c r="C63" t="s">
        <v>212</v>
      </c>
      <c r="D63" t="s">
        <v>175</v>
      </c>
      <c r="E63" t="s">
        <v>269</v>
      </c>
      <c r="F63" t="s">
        <v>269</v>
      </c>
      <c r="G63" t="s">
        <v>213</v>
      </c>
      <c r="H63" t="s">
        <v>269</v>
      </c>
      <c r="I63" t="s">
        <v>282</v>
      </c>
      <c r="J63" t="s">
        <v>221</v>
      </c>
      <c r="K63" t="s">
        <v>204</v>
      </c>
      <c r="L63" t="s">
        <v>232</v>
      </c>
      <c r="M63" t="s">
        <v>260</v>
      </c>
      <c r="N63" t="s">
        <v>344</v>
      </c>
      <c r="O63" t="s">
        <v>267</v>
      </c>
    </row>
    <row r="64" spans="1:15" x14ac:dyDescent="0.45">
      <c r="A64" t="s">
        <v>360</v>
      </c>
      <c r="B64" t="s">
        <v>212</v>
      </c>
      <c r="C64" t="s">
        <v>175</v>
      </c>
      <c r="D64" t="s">
        <v>213</v>
      </c>
      <c r="E64" t="s">
        <v>175</v>
      </c>
      <c r="F64" t="s">
        <v>175</v>
      </c>
      <c r="G64" t="s">
        <v>203</v>
      </c>
      <c r="H64" t="s">
        <v>175</v>
      </c>
      <c r="I64" t="s">
        <v>273</v>
      </c>
      <c r="J64" t="s">
        <v>282</v>
      </c>
      <c r="K64" t="s">
        <v>222</v>
      </c>
      <c r="L64" t="s">
        <v>232</v>
      </c>
      <c r="M64" t="s">
        <v>260</v>
      </c>
      <c r="N64" t="s">
        <v>241</v>
      </c>
      <c r="O64" t="s">
        <v>348</v>
      </c>
    </row>
    <row r="65" spans="1:15" x14ac:dyDescent="0.45">
      <c r="A65" t="s">
        <v>361</v>
      </c>
      <c r="B65" t="s">
        <v>269</v>
      </c>
      <c r="C65" t="s">
        <v>202</v>
      </c>
      <c r="D65" t="s">
        <v>214</v>
      </c>
      <c r="E65" t="s">
        <v>213</v>
      </c>
      <c r="F65" t="s">
        <v>213</v>
      </c>
      <c r="G65" t="s">
        <v>203</v>
      </c>
      <c r="H65" t="s">
        <v>269</v>
      </c>
      <c r="I65" t="s">
        <v>190</v>
      </c>
      <c r="J65" t="s">
        <v>177</v>
      </c>
      <c r="K65" t="s">
        <v>194</v>
      </c>
      <c r="L65" t="s">
        <v>195</v>
      </c>
      <c r="M65" t="s">
        <v>198</v>
      </c>
      <c r="N65" t="s">
        <v>267</v>
      </c>
      <c r="O65" t="s">
        <v>267</v>
      </c>
    </row>
    <row r="66" spans="1:15" x14ac:dyDescent="0.45">
      <c r="A66" t="s">
        <v>362</v>
      </c>
      <c r="B66" t="s">
        <v>214</v>
      </c>
      <c r="C66" t="s">
        <v>214</v>
      </c>
      <c r="D66" t="s">
        <v>176</v>
      </c>
      <c r="E66" t="s">
        <v>214</v>
      </c>
      <c r="F66" t="s">
        <v>214</v>
      </c>
      <c r="G66" t="s">
        <v>176</v>
      </c>
      <c r="H66" t="s">
        <v>214</v>
      </c>
      <c r="I66" t="s">
        <v>243</v>
      </c>
      <c r="J66" t="s">
        <v>298</v>
      </c>
      <c r="K66" t="s">
        <v>193</v>
      </c>
      <c r="L66" t="s">
        <v>206</v>
      </c>
      <c r="M66" t="s">
        <v>265</v>
      </c>
      <c r="N66" t="s">
        <v>348</v>
      </c>
      <c r="O66" t="s">
        <v>348</v>
      </c>
    </row>
    <row r="67" spans="1:15" x14ac:dyDescent="0.45">
      <c r="A67" t="s">
        <v>363</v>
      </c>
      <c r="B67" t="s">
        <v>213</v>
      </c>
      <c r="C67" t="s">
        <v>203</v>
      </c>
      <c r="D67" t="s">
        <v>203</v>
      </c>
      <c r="E67" t="s">
        <v>213</v>
      </c>
      <c r="F67" t="s">
        <v>213</v>
      </c>
      <c r="G67" t="s">
        <v>203</v>
      </c>
      <c r="H67" t="s">
        <v>214</v>
      </c>
      <c r="I67" t="s">
        <v>243</v>
      </c>
      <c r="J67" t="s">
        <v>298</v>
      </c>
      <c r="K67" t="s">
        <v>180</v>
      </c>
      <c r="L67" t="s">
        <v>217</v>
      </c>
      <c r="M67" t="s">
        <v>208</v>
      </c>
      <c r="N67" t="s">
        <v>228</v>
      </c>
      <c r="O67" t="s">
        <v>228</v>
      </c>
    </row>
    <row r="68" spans="1:15" x14ac:dyDescent="0.45">
      <c r="A68" t="s">
        <v>364</v>
      </c>
      <c r="B68" t="s">
        <v>214</v>
      </c>
      <c r="C68" t="s">
        <v>214</v>
      </c>
      <c r="D68" t="s">
        <v>203</v>
      </c>
      <c r="E68" t="s">
        <v>202</v>
      </c>
      <c r="F68" t="s">
        <v>213</v>
      </c>
      <c r="G68" t="s">
        <v>214</v>
      </c>
      <c r="H68" t="s">
        <v>269</v>
      </c>
      <c r="I68" t="s">
        <v>273</v>
      </c>
      <c r="J68" t="s">
        <v>177</v>
      </c>
      <c r="K68" t="s">
        <v>179</v>
      </c>
      <c r="L68" t="s">
        <v>240</v>
      </c>
      <c r="M68" t="s">
        <v>284</v>
      </c>
      <c r="N68" t="s">
        <v>344</v>
      </c>
      <c r="O68" t="s">
        <v>344</v>
      </c>
    </row>
    <row r="69" spans="1:15" x14ac:dyDescent="0.45">
      <c r="A69" t="s">
        <v>365</v>
      </c>
      <c r="B69" t="s">
        <v>176</v>
      </c>
      <c r="C69" t="s">
        <v>214</v>
      </c>
      <c r="D69" t="s">
        <v>213</v>
      </c>
      <c r="E69" t="s">
        <v>202</v>
      </c>
      <c r="F69" t="s">
        <v>202</v>
      </c>
      <c r="G69" t="s">
        <v>214</v>
      </c>
      <c r="H69" t="s">
        <v>269</v>
      </c>
      <c r="I69" t="s">
        <v>190</v>
      </c>
      <c r="J69" t="s">
        <v>243</v>
      </c>
      <c r="K69" t="s">
        <v>231</v>
      </c>
      <c r="L69" t="s">
        <v>224</v>
      </c>
      <c r="M69" t="s">
        <v>198</v>
      </c>
      <c r="N69" t="s">
        <v>228</v>
      </c>
      <c r="O69" t="s">
        <v>228</v>
      </c>
    </row>
    <row r="70" spans="1:15" x14ac:dyDescent="0.45">
      <c r="A70" t="s">
        <v>366</v>
      </c>
      <c r="B70" t="s">
        <v>176</v>
      </c>
      <c r="C70" t="s">
        <v>203</v>
      </c>
      <c r="D70" t="s">
        <v>214</v>
      </c>
      <c r="E70" t="s">
        <v>202</v>
      </c>
      <c r="F70" t="s">
        <v>202</v>
      </c>
      <c r="G70" t="s">
        <v>214</v>
      </c>
      <c r="H70" t="s">
        <v>269</v>
      </c>
      <c r="I70" t="s">
        <v>273</v>
      </c>
      <c r="J70" t="s">
        <v>190</v>
      </c>
      <c r="K70" t="s">
        <v>222</v>
      </c>
      <c r="L70" t="s">
        <v>248</v>
      </c>
      <c r="M70" t="s">
        <v>225</v>
      </c>
      <c r="N70" t="s">
        <v>344</v>
      </c>
      <c r="O70" t="s">
        <v>344</v>
      </c>
    </row>
    <row r="71" spans="1:15" x14ac:dyDescent="0.45">
      <c r="A71" t="s">
        <v>367</v>
      </c>
      <c r="B71" t="s">
        <v>176</v>
      </c>
      <c r="C71" t="s">
        <v>214</v>
      </c>
      <c r="D71" t="s">
        <v>213</v>
      </c>
      <c r="E71" t="s">
        <v>213</v>
      </c>
      <c r="F71" t="s">
        <v>213</v>
      </c>
      <c r="G71" t="s">
        <v>203</v>
      </c>
      <c r="H71" t="s">
        <v>213</v>
      </c>
      <c r="I71" t="s">
        <v>177</v>
      </c>
      <c r="J71" t="s">
        <v>215</v>
      </c>
      <c r="K71" t="s">
        <v>231</v>
      </c>
      <c r="L71" t="s">
        <v>206</v>
      </c>
      <c r="M71" t="s">
        <v>208</v>
      </c>
      <c r="N71" t="s">
        <v>277</v>
      </c>
      <c r="O71" t="s">
        <v>228</v>
      </c>
    </row>
    <row r="72" spans="1:15" x14ac:dyDescent="0.45">
      <c r="A72" t="s">
        <v>368</v>
      </c>
      <c r="B72" t="s">
        <v>176</v>
      </c>
      <c r="C72" t="s">
        <v>203</v>
      </c>
      <c r="D72" t="s">
        <v>214</v>
      </c>
      <c r="E72" t="s">
        <v>203</v>
      </c>
      <c r="F72" t="s">
        <v>214</v>
      </c>
      <c r="G72" t="s">
        <v>189</v>
      </c>
      <c r="H72" t="s">
        <v>221</v>
      </c>
      <c r="I72" t="s">
        <v>298</v>
      </c>
      <c r="J72" t="s">
        <v>179</v>
      </c>
      <c r="K72" t="s">
        <v>181</v>
      </c>
      <c r="L72" t="s">
        <v>259</v>
      </c>
      <c r="M72" t="s">
        <v>226</v>
      </c>
      <c r="N72" t="s">
        <v>200</v>
      </c>
      <c r="O72" t="s">
        <v>210</v>
      </c>
    </row>
    <row r="73" spans="1:15" x14ac:dyDescent="0.45">
      <c r="A73" t="s">
        <v>369</v>
      </c>
      <c r="B73" t="s">
        <v>176</v>
      </c>
      <c r="C73" t="s">
        <v>203</v>
      </c>
      <c r="D73" t="s">
        <v>203</v>
      </c>
      <c r="E73" t="s">
        <v>203</v>
      </c>
      <c r="F73" t="s">
        <v>203</v>
      </c>
      <c r="G73" t="s">
        <v>221</v>
      </c>
      <c r="H73" t="s">
        <v>236</v>
      </c>
      <c r="I73" t="s">
        <v>205</v>
      </c>
      <c r="J73" t="s">
        <v>216</v>
      </c>
      <c r="K73" t="s">
        <v>275</v>
      </c>
      <c r="L73" t="s">
        <v>259</v>
      </c>
      <c r="M73" t="s">
        <v>295</v>
      </c>
      <c r="N73" t="s">
        <v>255</v>
      </c>
      <c r="O73" t="s">
        <v>227</v>
      </c>
    </row>
    <row r="74" spans="1:15" x14ac:dyDescent="0.45">
      <c r="A74" t="s">
        <v>370</v>
      </c>
      <c r="B74" t="s">
        <v>203</v>
      </c>
      <c r="C74" t="s">
        <v>214</v>
      </c>
      <c r="D74" t="s">
        <v>214</v>
      </c>
      <c r="E74" t="s">
        <v>203</v>
      </c>
      <c r="F74" t="s">
        <v>214</v>
      </c>
      <c r="G74" t="s">
        <v>230</v>
      </c>
      <c r="H74" t="s">
        <v>221</v>
      </c>
      <c r="I74" t="s">
        <v>243</v>
      </c>
      <c r="J74" t="s">
        <v>298</v>
      </c>
      <c r="K74" t="s">
        <v>205</v>
      </c>
      <c r="L74" t="s">
        <v>224</v>
      </c>
      <c r="M74" t="s">
        <v>198</v>
      </c>
      <c r="N74" t="s">
        <v>267</v>
      </c>
      <c r="O74" t="s">
        <v>348</v>
      </c>
    </row>
    <row r="75" spans="1:15" x14ac:dyDescent="0.45">
      <c r="A75" t="s">
        <v>371</v>
      </c>
      <c r="B75" t="s">
        <v>176</v>
      </c>
      <c r="C75" t="s">
        <v>214</v>
      </c>
      <c r="D75" t="s">
        <v>214</v>
      </c>
      <c r="E75" t="s">
        <v>176</v>
      </c>
      <c r="F75" t="s">
        <v>203</v>
      </c>
      <c r="G75" t="s">
        <v>282</v>
      </c>
      <c r="H75" t="s">
        <v>190</v>
      </c>
      <c r="I75" t="s">
        <v>244</v>
      </c>
      <c r="J75" t="s">
        <v>192</v>
      </c>
      <c r="K75" t="s">
        <v>372</v>
      </c>
      <c r="L75" t="s">
        <v>197</v>
      </c>
      <c r="M75" t="s">
        <v>261</v>
      </c>
      <c r="N75" t="s">
        <v>263</v>
      </c>
      <c r="O75" t="s">
        <v>256</v>
      </c>
    </row>
    <row r="76" spans="1:15" x14ac:dyDescent="0.45">
      <c r="A76" t="s">
        <v>373</v>
      </c>
      <c r="B76" t="s">
        <v>203</v>
      </c>
      <c r="C76" t="s">
        <v>213</v>
      </c>
      <c r="D76" t="s">
        <v>214</v>
      </c>
      <c r="E76" t="s">
        <v>176</v>
      </c>
      <c r="F76" t="s">
        <v>214</v>
      </c>
      <c r="G76" t="s">
        <v>221</v>
      </c>
      <c r="H76" t="s">
        <v>230</v>
      </c>
      <c r="I76" t="s">
        <v>236</v>
      </c>
      <c r="J76" t="s">
        <v>215</v>
      </c>
      <c r="K76" t="s">
        <v>194</v>
      </c>
      <c r="L76" t="s">
        <v>224</v>
      </c>
      <c r="M76" t="s">
        <v>265</v>
      </c>
      <c r="N76" t="s">
        <v>227</v>
      </c>
      <c r="O76" t="s">
        <v>228</v>
      </c>
    </row>
    <row r="77" spans="1:15" x14ac:dyDescent="0.45">
      <c r="A77" t="s">
        <v>374</v>
      </c>
      <c r="B77" t="s">
        <v>203</v>
      </c>
      <c r="C77" t="s">
        <v>213</v>
      </c>
      <c r="D77" t="s">
        <v>214</v>
      </c>
      <c r="E77" t="s">
        <v>176</v>
      </c>
      <c r="F77" t="s">
        <v>203</v>
      </c>
      <c r="G77" t="s">
        <v>273</v>
      </c>
      <c r="H77" t="s">
        <v>287</v>
      </c>
      <c r="I77" t="s">
        <v>298</v>
      </c>
      <c r="J77" t="s">
        <v>244</v>
      </c>
      <c r="K77" t="s">
        <v>223</v>
      </c>
      <c r="L77" t="s">
        <v>270</v>
      </c>
      <c r="M77" t="s">
        <v>261</v>
      </c>
      <c r="N77" t="s">
        <v>219</v>
      </c>
      <c r="O77" t="s">
        <v>255</v>
      </c>
    </row>
    <row r="78" spans="1:15" x14ac:dyDescent="0.45">
      <c r="A78" t="s">
        <v>375</v>
      </c>
      <c r="B78" t="s">
        <v>203</v>
      </c>
      <c r="C78" t="s">
        <v>213</v>
      </c>
      <c r="D78" t="s">
        <v>214</v>
      </c>
      <c r="E78" t="s">
        <v>203</v>
      </c>
      <c r="F78" t="s">
        <v>213</v>
      </c>
      <c r="G78" t="s">
        <v>230</v>
      </c>
      <c r="H78" t="s">
        <v>203</v>
      </c>
      <c r="I78" t="s">
        <v>273</v>
      </c>
      <c r="J78" t="s">
        <v>273</v>
      </c>
      <c r="K78" t="s">
        <v>298</v>
      </c>
      <c r="L78" t="s">
        <v>181</v>
      </c>
      <c r="M78" t="s">
        <v>259</v>
      </c>
      <c r="N78" t="s">
        <v>376</v>
      </c>
      <c r="O78" t="s">
        <v>377</v>
      </c>
    </row>
    <row r="79" spans="1:15" x14ac:dyDescent="0.45">
      <c r="A79" t="s">
        <v>378</v>
      </c>
      <c r="B79" t="s">
        <v>203</v>
      </c>
      <c r="C79" t="s">
        <v>214</v>
      </c>
      <c r="D79" t="s">
        <v>214</v>
      </c>
      <c r="E79" t="s">
        <v>203</v>
      </c>
      <c r="F79" t="s">
        <v>213</v>
      </c>
      <c r="G79" t="s">
        <v>176</v>
      </c>
      <c r="H79" t="s">
        <v>269</v>
      </c>
      <c r="I79" t="s">
        <v>230</v>
      </c>
      <c r="J79" t="s">
        <v>230</v>
      </c>
      <c r="K79" t="s">
        <v>191</v>
      </c>
      <c r="L79" t="s">
        <v>274</v>
      </c>
      <c r="M79" t="s">
        <v>245</v>
      </c>
      <c r="N79" t="s">
        <v>356</v>
      </c>
      <c r="O79" t="s">
        <v>344</v>
      </c>
    </row>
    <row r="80" spans="1:15" x14ac:dyDescent="0.45">
      <c r="A80" t="s">
        <v>379</v>
      </c>
      <c r="B80" t="s">
        <v>176</v>
      </c>
      <c r="C80" t="s">
        <v>214</v>
      </c>
      <c r="D80" t="s">
        <v>214</v>
      </c>
      <c r="E80" t="s">
        <v>214</v>
      </c>
      <c r="F80" t="s">
        <v>175</v>
      </c>
      <c r="G80" t="s">
        <v>213</v>
      </c>
      <c r="H80" t="s">
        <v>380</v>
      </c>
      <c r="I80" t="s">
        <v>269</v>
      </c>
      <c r="J80" t="s">
        <v>269</v>
      </c>
      <c r="K80" t="s">
        <v>273</v>
      </c>
      <c r="L80" t="s">
        <v>193</v>
      </c>
      <c r="M80" t="s">
        <v>270</v>
      </c>
      <c r="N80" t="s">
        <v>381</v>
      </c>
      <c r="O80" t="s">
        <v>350</v>
      </c>
    </row>
    <row r="81" spans="1:15" x14ac:dyDescent="0.45">
      <c r="A81" t="s">
        <v>382</v>
      </c>
      <c r="B81" t="s">
        <v>189</v>
      </c>
      <c r="C81" t="s">
        <v>203</v>
      </c>
      <c r="D81" t="s">
        <v>214</v>
      </c>
      <c r="E81" t="s">
        <v>214</v>
      </c>
      <c r="F81" t="s">
        <v>175</v>
      </c>
      <c r="G81" t="s">
        <v>214</v>
      </c>
      <c r="H81" t="s">
        <v>352</v>
      </c>
      <c r="I81" t="s">
        <v>269</v>
      </c>
      <c r="J81" t="s">
        <v>175</v>
      </c>
      <c r="K81" t="s">
        <v>287</v>
      </c>
      <c r="L81" t="s">
        <v>216</v>
      </c>
      <c r="M81" t="s">
        <v>207</v>
      </c>
      <c r="N81" t="s">
        <v>377</v>
      </c>
      <c r="O81" t="s">
        <v>234</v>
      </c>
    </row>
    <row r="82" spans="1:15" x14ac:dyDescent="0.45">
      <c r="A82" t="s">
        <v>383</v>
      </c>
      <c r="B82" t="s">
        <v>189</v>
      </c>
      <c r="C82" t="s">
        <v>176</v>
      </c>
      <c r="D82" t="s">
        <v>213</v>
      </c>
      <c r="E82" t="s">
        <v>214</v>
      </c>
      <c r="F82" t="s">
        <v>175</v>
      </c>
      <c r="G82" t="s">
        <v>202</v>
      </c>
      <c r="H82" t="s">
        <v>247</v>
      </c>
      <c r="I82" t="s">
        <v>203</v>
      </c>
      <c r="J82" t="s">
        <v>176</v>
      </c>
      <c r="K82" t="s">
        <v>191</v>
      </c>
      <c r="L82" t="s">
        <v>238</v>
      </c>
      <c r="M82" t="s">
        <v>249</v>
      </c>
      <c r="N82" t="s">
        <v>348</v>
      </c>
      <c r="O82" t="s">
        <v>267</v>
      </c>
    </row>
    <row r="83" spans="1:15" x14ac:dyDescent="0.45">
      <c r="A83" t="s">
        <v>384</v>
      </c>
      <c r="B83" t="s">
        <v>230</v>
      </c>
      <c r="C83" t="s">
        <v>176</v>
      </c>
      <c r="D83" t="s">
        <v>214</v>
      </c>
      <c r="E83" t="s">
        <v>214</v>
      </c>
      <c r="F83" t="s">
        <v>175</v>
      </c>
      <c r="G83" t="s">
        <v>202</v>
      </c>
      <c r="H83" t="s">
        <v>247</v>
      </c>
      <c r="I83" t="s">
        <v>230</v>
      </c>
      <c r="J83" t="s">
        <v>189</v>
      </c>
      <c r="K83" t="s">
        <v>298</v>
      </c>
      <c r="L83" t="s">
        <v>181</v>
      </c>
      <c r="M83" t="s">
        <v>184</v>
      </c>
      <c r="N83" t="s">
        <v>234</v>
      </c>
      <c r="O83" t="s">
        <v>344</v>
      </c>
    </row>
    <row r="84" spans="1:15" x14ac:dyDescent="0.45">
      <c r="A84" t="s">
        <v>385</v>
      </c>
      <c r="B84" t="s">
        <v>189</v>
      </c>
      <c r="C84" t="s">
        <v>203</v>
      </c>
      <c r="D84" t="s">
        <v>202</v>
      </c>
      <c r="E84" t="s">
        <v>213</v>
      </c>
      <c r="F84" t="s">
        <v>175</v>
      </c>
      <c r="G84" t="s">
        <v>269</v>
      </c>
      <c r="H84" t="s">
        <v>386</v>
      </c>
      <c r="I84" t="s">
        <v>352</v>
      </c>
      <c r="J84" t="s">
        <v>352</v>
      </c>
      <c r="K84" t="s">
        <v>273</v>
      </c>
      <c r="L84" t="s">
        <v>193</v>
      </c>
      <c r="M84" t="s">
        <v>197</v>
      </c>
      <c r="N84" t="s">
        <v>376</v>
      </c>
      <c r="O84" t="s">
        <v>234</v>
      </c>
    </row>
    <row r="85" spans="1:15" x14ac:dyDescent="0.45">
      <c r="A85" t="s">
        <v>387</v>
      </c>
      <c r="B85" t="s">
        <v>189</v>
      </c>
      <c r="C85" t="s">
        <v>176</v>
      </c>
      <c r="D85" t="s">
        <v>213</v>
      </c>
      <c r="E85" t="s">
        <v>213</v>
      </c>
      <c r="F85" t="s">
        <v>175</v>
      </c>
      <c r="G85" t="s">
        <v>269</v>
      </c>
      <c r="H85" t="s">
        <v>388</v>
      </c>
      <c r="I85" t="s">
        <v>389</v>
      </c>
      <c r="J85" t="s">
        <v>390</v>
      </c>
      <c r="K85" t="s">
        <v>203</v>
      </c>
      <c r="L85" t="s">
        <v>192</v>
      </c>
      <c r="M85" t="s">
        <v>224</v>
      </c>
      <c r="N85" t="s">
        <v>391</v>
      </c>
      <c r="O85" t="s">
        <v>392</v>
      </c>
    </row>
    <row r="86" spans="1:15" x14ac:dyDescent="0.45">
      <c r="A86" t="s">
        <v>393</v>
      </c>
      <c r="B86" t="s">
        <v>189</v>
      </c>
      <c r="C86" t="s">
        <v>203</v>
      </c>
      <c r="D86" t="s">
        <v>214</v>
      </c>
      <c r="E86" t="s">
        <v>213</v>
      </c>
      <c r="F86" t="s">
        <v>269</v>
      </c>
      <c r="G86" t="s">
        <v>269</v>
      </c>
      <c r="H86" t="s">
        <v>388</v>
      </c>
      <c r="I86" t="s">
        <v>388</v>
      </c>
      <c r="J86" t="s">
        <v>390</v>
      </c>
      <c r="K86" t="s">
        <v>213</v>
      </c>
      <c r="L86" t="s">
        <v>244</v>
      </c>
      <c r="M86" t="s">
        <v>240</v>
      </c>
      <c r="N86" t="s">
        <v>394</v>
      </c>
      <c r="O86" t="s">
        <v>395</v>
      </c>
    </row>
    <row r="87" spans="1:15" x14ac:dyDescent="0.45">
      <c r="A87" t="s">
        <v>396</v>
      </c>
      <c r="B87" t="s">
        <v>189</v>
      </c>
      <c r="C87" t="s">
        <v>176</v>
      </c>
      <c r="D87" t="s">
        <v>214</v>
      </c>
      <c r="E87" t="s">
        <v>175</v>
      </c>
      <c r="F87" t="s">
        <v>212</v>
      </c>
      <c r="G87" t="s">
        <v>247</v>
      </c>
      <c r="H87" t="s">
        <v>397</v>
      </c>
      <c r="I87" t="s">
        <v>388</v>
      </c>
      <c r="J87" t="s">
        <v>398</v>
      </c>
      <c r="K87" t="s">
        <v>214</v>
      </c>
      <c r="L87" t="s">
        <v>192</v>
      </c>
      <c r="M87" t="s">
        <v>224</v>
      </c>
      <c r="N87" t="s">
        <v>391</v>
      </c>
      <c r="O87" t="s">
        <v>399</v>
      </c>
    </row>
    <row r="88" spans="1:15" x14ac:dyDescent="0.45">
      <c r="A88" t="s">
        <v>400</v>
      </c>
      <c r="B88" t="s">
        <v>189</v>
      </c>
      <c r="C88" t="s">
        <v>176</v>
      </c>
      <c r="D88" t="s">
        <v>214</v>
      </c>
      <c r="E88" t="s">
        <v>202</v>
      </c>
      <c r="F88" t="s">
        <v>269</v>
      </c>
      <c r="G88" t="s">
        <v>269</v>
      </c>
      <c r="H88" t="s">
        <v>398</v>
      </c>
      <c r="I88" t="s">
        <v>389</v>
      </c>
      <c r="J88" t="s">
        <v>398</v>
      </c>
      <c r="K88" t="s">
        <v>214</v>
      </c>
      <c r="L88" t="s">
        <v>222</v>
      </c>
      <c r="M88" t="s">
        <v>195</v>
      </c>
      <c r="N88" t="s">
        <v>401</v>
      </c>
      <c r="O88" t="s">
        <v>391</v>
      </c>
    </row>
    <row r="89" spans="1:15" x14ac:dyDescent="0.45">
      <c r="A89" t="s">
        <v>402</v>
      </c>
      <c r="B89" t="s">
        <v>189</v>
      </c>
      <c r="C89" t="s">
        <v>189</v>
      </c>
      <c r="D89" t="s">
        <v>189</v>
      </c>
      <c r="E89" t="s">
        <v>213</v>
      </c>
      <c r="F89" t="s">
        <v>269</v>
      </c>
      <c r="G89" t="s">
        <v>269</v>
      </c>
      <c r="H89" t="s">
        <v>390</v>
      </c>
      <c r="I89" t="s">
        <v>403</v>
      </c>
      <c r="J89" t="s">
        <v>397</v>
      </c>
      <c r="K89" t="s">
        <v>212</v>
      </c>
      <c r="L89" t="s">
        <v>191</v>
      </c>
      <c r="M89" t="s">
        <v>239</v>
      </c>
      <c r="N89" t="s">
        <v>318</v>
      </c>
      <c r="O89" t="s">
        <v>395</v>
      </c>
    </row>
    <row r="90" spans="1:15" x14ac:dyDescent="0.45">
      <c r="A90" t="s">
        <v>404</v>
      </c>
      <c r="B90" t="s">
        <v>189</v>
      </c>
      <c r="C90" t="s">
        <v>189</v>
      </c>
      <c r="D90" t="s">
        <v>176</v>
      </c>
      <c r="E90" t="s">
        <v>213</v>
      </c>
      <c r="F90" t="s">
        <v>212</v>
      </c>
      <c r="G90" t="s">
        <v>269</v>
      </c>
      <c r="H90" t="s">
        <v>397</v>
      </c>
      <c r="I90" t="s">
        <v>405</v>
      </c>
      <c r="J90" t="s">
        <v>406</v>
      </c>
      <c r="K90" t="s">
        <v>380</v>
      </c>
      <c r="L90" t="s">
        <v>236</v>
      </c>
      <c r="M90" t="s">
        <v>181</v>
      </c>
      <c r="N90" t="s">
        <v>407</v>
      </c>
      <c r="O90" t="s">
        <v>394</v>
      </c>
    </row>
    <row r="91" spans="1:15" x14ac:dyDescent="0.45">
      <c r="A91" t="s">
        <v>408</v>
      </c>
      <c r="B91" t="s">
        <v>176</v>
      </c>
      <c r="C91" t="s">
        <v>176</v>
      </c>
      <c r="D91" t="s">
        <v>176</v>
      </c>
      <c r="E91" t="s">
        <v>214</v>
      </c>
      <c r="F91" t="s">
        <v>269</v>
      </c>
      <c r="G91" t="s">
        <v>269</v>
      </c>
      <c r="H91" t="s">
        <v>403</v>
      </c>
      <c r="I91" t="s">
        <v>409</v>
      </c>
      <c r="J91" t="s">
        <v>410</v>
      </c>
      <c r="K91" t="s">
        <v>411</v>
      </c>
      <c r="L91" t="s">
        <v>177</v>
      </c>
      <c r="M91" t="s">
        <v>274</v>
      </c>
      <c r="N91" t="s">
        <v>412</v>
      </c>
      <c r="O91" t="s">
        <v>394</v>
      </c>
    </row>
    <row r="92" spans="1:15" x14ac:dyDescent="0.45">
      <c r="A92" t="s">
        <v>413</v>
      </c>
      <c r="B92" t="s">
        <v>176</v>
      </c>
      <c r="C92" t="s">
        <v>203</v>
      </c>
      <c r="D92" t="s">
        <v>203</v>
      </c>
      <c r="E92" t="s">
        <v>212</v>
      </c>
      <c r="F92" t="s">
        <v>212</v>
      </c>
      <c r="G92" t="s">
        <v>386</v>
      </c>
      <c r="H92" t="s">
        <v>414</v>
      </c>
      <c r="I92" t="s">
        <v>415</v>
      </c>
      <c r="J92" t="s">
        <v>416</v>
      </c>
      <c r="K92" t="s">
        <v>405</v>
      </c>
      <c r="L92" t="s">
        <v>214</v>
      </c>
      <c r="M92" t="s">
        <v>231</v>
      </c>
      <c r="N92" t="s">
        <v>312</v>
      </c>
      <c r="O92" t="s">
        <v>412</v>
      </c>
    </row>
    <row r="93" spans="1:15" x14ac:dyDescent="0.45">
      <c r="A93" t="s">
        <v>417</v>
      </c>
      <c r="B93" t="s">
        <v>176</v>
      </c>
      <c r="C93" t="s">
        <v>176</v>
      </c>
      <c r="D93" t="s">
        <v>189</v>
      </c>
      <c r="E93" t="s">
        <v>269</v>
      </c>
      <c r="F93" t="s">
        <v>269</v>
      </c>
      <c r="G93" t="s">
        <v>418</v>
      </c>
      <c r="H93" t="s">
        <v>419</v>
      </c>
      <c r="I93" t="s">
        <v>420</v>
      </c>
      <c r="J93" t="s">
        <v>421</v>
      </c>
      <c r="K93" t="s">
        <v>389</v>
      </c>
      <c r="L93" t="s">
        <v>282</v>
      </c>
      <c r="M93" t="s">
        <v>332</v>
      </c>
      <c r="N93" t="s">
        <v>422</v>
      </c>
      <c r="O93" t="s">
        <v>318</v>
      </c>
    </row>
    <row r="94" spans="1:15" x14ac:dyDescent="0.45">
      <c r="A94" t="s">
        <v>423</v>
      </c>
      <c r="B94" t="s">
        <v>213</v>
      </c>
      <c r="C94" t="s">
        <v>176</v>
      </c>
      <c r="D94" t="s">
        <v>203</v>
      </c>
      <c r="E94" t="s">
        <v>175</v>
      </c>
      <c r="F94" t="s">
        <v>269</v>
      </c>
      <c r="G94" t="s">
        <v>411</v>
      </c>
      <c r="H94" t="s">
        <v>424</v>
      </c>
      <c r="I94" t="s">
        <v>425</v>
      </c>
      <c r="J94" t="s">
        <v>410</v>
      </c>
      <c r="K94" t="s">
        <v>418</v>
      </c>
      <c r="L94" t="s">
        <v>177</v>
      </c>
      <c r="M94" t="s">
        <v>274</v>
      </c>
      <c r="N94" t="s">
        <v>426</v>
      </c>
      <c r="O94" t="s">
        <v>394</v>
      </c>
    </row>
    <row r="95" spans="1:15" x14ac:dyDescent="0.45">
      <c r="A95" t="s">
        <v>427</v>
      </c>
      <c r="B95" t="s">
        <v>214</v>
      </c>
      <c r="C95" t="s">
        <v>189</v>
      </c>
      <c r="D95" t="s">
        <v>203</v>
      </c>
      <c r="E95" t="s">
        <v>175</v>
      </c>
      <c r="F95" t="s">
        <v>202</v>
      </c>
      <c r="G95" t="s">
        <v>411</v>
      </c>
      <c r="H95" t="s">
        <v>419</v>
      </c>
      <c r="I95" t="s">
        <v>428</v>
      </c>
      <c r="J95" t="s">
        <v>409</v>
      </c>
      <c r="K95" t="s">
        <v>418</v>
      </c>
      <c r="L95" t="s">
        <v>190</v>
      </c>
      <c r="M95" t="s">
        <v>258</v>
      </c>
      <c r="N95" t="s">
        <v>426</v>
      </c>
      <c r="O95" t="s">
        <v>394</v>
      </c>
    </row>
    <row r="96" spans="1:15" x14ac:dyDescent="0.45">
      <c r="A96" t="s">
        <v>429</v>
      </c>
      <c r="B96" t="s">
        <v>214</v>
      </c>
      <c r="C96" t="s">
        <v>176</v>
      </c>
      <c r="D96" t="s">
        <v>176</v>
      </c>
      <c r="E96" t="s">
        <v>175</v>
      </c>
      <c r="F96" t="s">
        <v>202</v>
      </c>
      <c r="G96" t="s">
        <v>411</v>
      </c>
      <c r="H96" t="s">
        <v>406</v>
      </c>
      <c r="I96" t="s">
        <v>428</v>
      </c>
      <c r="J96" t="s">
        <v>425</v>
      </c>
      <c r="K96" t="s">
        <v>398</v>
      </c>
      <c r="L96" t="s">
        <v>273</v>
      </c>
      <c r="M96" t="s">
        <v>372</v>
      </c>
      <c r="N96" t="s">
        <v>426</v>
      </c>
      <c r="O96" t="s">
        <v>394</v>
      </c>
    </row>
    <row r="97" spans="1:15" x14ac:dyDescent="0.45">
      <c r="A97" t="s">
        <v>430</v>
      </c>
      <c r="B97" t="s">
        <v>214</v>
      </c>
      <c r="C97" t="s">
        <v>203</v>
      </c>
      <c r="D97" t="s">
        <v>176</v>
      </c>
      <c r="E97" t="s">
        <v>175</v>
      </c>
      <c r="F97" t="s">
        <v>213</v>
      </c>
      <c r="G97" t="s">
        <v>418</v>
      </c>
      <c r="H97" t="s">
        <v>405</v>
      </c>
      <c r="I97" t="s">
        <v>414</v>
      </c>
      <c r="J97" t="s">
        <v>406</v>
      </c>
      <c r="K97" t="s">
        <v>252</v>
      </c>
      <c r="L97" t="s">
        <v>215</v>
      </c>
      <c r="M97" t="s">
        <v>275</v>
      </c>
      <c r="N97" t="s">
        <v>431</v>
      </c>
      <c r="O97" t="s">
        <v>395</v>
      </c>
    </row>
    <row r="98" spans="1:15" x14ac:dyDescent="0.45">
      <c r="A98" t="s">
        <v>432</v>
      </c>
      <c r="B98" t="s">
        <v>214</v>
      </c>
      <c r="C98" t="s">
        <v>176</v>
      </c>
      <c r="D98" t="s">
        <v>189</v>
      </c>
      <c r="E98" t="s">
        <v>175</v>
      </c>
      <c r="F98" t="s">
        <v>202</v>
      </c>
      <c r="G98" t="s">
        <v>386</v>
      </c>
      <c r="H98" t="s">
        <v>406</v>
      </c>
      <c r="I98" t="s">
        <v>409</v>
      </c>
      <c r="J98" t="s">
        <v>406</v>
      </c>
      <c r="K98" t="s">
        <v>252</v>
      </c>
      <c r="L98" t="s">
        <v>215</v>
      </c>
      <c r="M98" t="s">
        <v>275</v>
      </c>
      <c r="N98" t="s">
        <v>412</v>
      </c>
      <c r="O98" t="s">
        <v>394</v>
      </c>
    </row>
    <row r="99" spans="1:15" x14ac:dyDescent="0.45">
      <c r="A99" t="s">
        <v>433</v>
      </c>
      <c r="B99" t="s">
        <v>213</v>
      </c>
      <c r="C99" t="s">
        <v>176</v>
      </c>
      <c r="D99" t="s">
        <v>203</v>
      </c>
      <c r="E99" t="s">
        <v>202</v>
      </c>
      <c r="F99" t="s">
        <v>202</v>
      </c>
      <c r="G99" t="s">
        <v>386</v>
      </c>
      <c r="H99" t="s">
        <v>410</v>
      </c>
      <c r="I99" t="s">
        <v>409</v>
      </c>
      <c r="J99" t="s">
        <v>406</v>
      </c>
      <c r="K99" t="s">
        <v>247</v>
      </c>
      <c r="L99" t="s">
        <v>178</v>
      </c>
      <c r="M99" t="s">
        <v>239</v>
      </c>
      <c r="N99" t="s">
        <v>407</v>
      </c>
      <c r="O99" t="s">
        <v>401</v>
      </c>
    </row>
    <row r="100" spans="1:15" x14ac:dyDescent="0.45">
      <c r="A100" t="s">
        <v>434</v>
      </c>
      <c r="B100" t="s">
        <v>214</v>
      </c>
      <c r="C100" t="s">
        <v>189</v>
      </c>
      <c r="D100" t="s">
        <v>203</v>
      </c>
      <c r="E100" t="s">
        <v>175</v>
      </c>
      <c r="F100" t="s">
        <v>202</v>
      </c>
      <c r="G100" t="s">
        <v>398</v>
      </c>
      <c r="H100" t="s">
        <v>414</v>
      </c>
      <c r="I100" t="s">
        <v>428</v>
      </c>
      <c r="J100" t="s">
        <v>409</v>
      </c>
      <c r="K100" t="s">
        <v>380</v>
      </c>
      <c r="L100" t="s">
        <v>177</v>
      </c>
      <c r="M100" t="s">
        <v>274</v>
      </c>
      <c r="N100" t="s">
        <v>426</v>
      </c>
      <c r="O100" t="s">
        <v>435</v>
      </c>
    </row>
    <row r="101" spans="1:15" x14ac:dyDescent="0.45">
      <c r="A101" t="s">
        <v>436</v>
      </c>
      <c r="B101" t="s">
        <v>214</v>
      </c>
      <c r="C101" t="s">
        <v>213</v>
      </c>
      <c r="D101" t="s">
        <v>203</v>
      </c>
      <c r="E101" t="s">
        <v>269</v>
      </c>
      <c r="F101" t="s">
        <v>202</v>
      </c>
      <c r="G101" t="s">
        <v>398</v>
      </c>
      <c r="H101" t="s">
        <v>420</v>
      </c>
      <c r="I101" t="s">
        <v>437</v>
      </c>
      <c r="J101" t="s">
        <v>428</v>
      </c>
      <c r="K101" t="s">
        <v>418</v>
      </c>
      <c r="L101" t="s">
        <v>190</v>
      </c>
      <c r="M101" t="s">
        <v>258</v>
      </c>
      <c r="N101" t="s">
        <v>412</v>
      </c>
      <c r="O101" t="s">
        <v>438</v>
      </c>
    </row>
    <row r="102" spans="1:15" x14ac:dyDescent="0.45">
      <c r="A102" t="s">
        <v>439</v>
      </c>
      <c r="B102" t="s">
        <v>214</v>
      </c>
      <c r="C102" t="s">
        <v>213</v>
      </c>
      <c r="D102" t="s">
        <v>176</v>
      </c>
      <c r="E102" t="s">
        <v>202</v>
      </c>
      <c r="F102" t="s">
        <v>202</v>
      </c>
      <c r="G102" t="s">
        <v>390</v>
      </c>
      <c r="H102" t="s">
        <v>425</v>
      </c>
      <c r="I102" t="s">
        <v>409</v>
      </c>
      <c r="J102" t="s">
        <v>410</v>
      </c>
      <c r="K102" t="s">
        <v>212</v>
      </c>
      <c r="L102" t="s">
        <v>191</v>
      </c>
      <c r="M102" t="s">
        <v>239</v>
      </c>
      <c r="N102" t="s">
        <v>435</v>
      </c>
      <c r="O102" t="s">
        <v>395</v>
      </c>
    </row>
    <row r="103" spans="1:15" x14ac:dyDescent="0.45">
      <c r="A103" t="s">
        <v>440</v>
      </c>
      <c r="B103" t="s">
        <v>213</v>
      </c>
      <c r="C103" t="s">
        <v>213</v>
      </c>
      <c r="D103" t="s">
        <v>203</v>
      </c>
      <c r="E103" t="s">
        <v>202</v>
      </c>
      <c r="F103" t="s">
        <v>202</v>
      </c>
      <c r="G103" t="s">
        <v>386</v>
      </c>
      <c r="H103" t="s">
        <v>409</v>
      </c>
      <c r="I103" t="s">
        <v>419</v>
      </c>
      <c r="J103" t="s">
        <v>397</v>
      </c>
      <c r="K103" t="s">
        <v>189</v>
      </c>
      <c r="L103" t="s">
        <v>205</v>
      </c>
      <c r="M103" t="s">
        <v>183</v>
      </c>
      <c r="N103" t="s">
        <v>441</v>
      </c>
      <c r="O103" t="s">
        <v>376</v>
      </c>
    </row>
    <row r="104" spans="1:15" x14ac:dyDescent="0.45">
      <c r="A104" t="s">
        <v>442</v>
      </c>
      <c r="B104" t="s">
        <v>214</v>
      </c>
      <c r="C104" t="s">
        <v>214</v>
      </c>
      <c r="D104" t="s">
        <v>176</v>
      </c>
      <c r="E104" t="s">
        <v>175</v>
      </c>
      <c r="F104" t="s">
        <v>175</v>
      </c>
      <c r="G104" t="s">
        <v>390</v>
      </c>
      <c r="H104" t="s">
        <v>437</v>
      </c>
      <c r="I104" t="s">
        <v>425</v>
      </c>
      <c r="J104" t="s">
        <v>406</v>
      </c>
      <c r="K104" t="s">
        <v>202</v>
      </c>
      <c r="L104" t="s">
        <v>222</v>
      </c>
      <c r="M104" t="s">
        <v>206</v>
      </c>
      <c r="N104" t="s">
        <v>443</v>
      </c>
      <c r="O104" t="s">
        <v>392</v>
      </c>
    </row>
    <row r="105" spans="1:15" x14ac:dyDescent="0.45">
      <c r="A105" t="s">
        <v>444</v>
      </c>
      <c r="B105" t="s">
        <v>214</v>
      </c>
      <c r="C105" t="s">
        <v>214</v>
      </c>
      <c r="D105" t="s">
        <v>203</v>
      </c>
      <c r="E105" t="s">
        <v>175</v>
      </c>
      <c r="F105" t="s">
        <v>202</v>
      </c>
      <c r="G105" t="s">
        <v>398</v>
      </c>
      <c r="H105" t="s">
        <v>428</v>
      </c>
      <c r="I105" t="s">
        <v>414</v>
      </c>
      <c r="J105" t="s">
        <v>388</v>
      </c>
      <c r="K105" t="s">
        <v>189</v>
      </c>
      <c r="L105" t="s">
        <v>231</v>
      </c>
      <c r="M105" t="s">
        <v>253</v>
      </c>
      <c r="N105" t="s">
        <v>445</v>
      </c>
      <c r="O105" t="s">
        <v>350</v>
      </c>
    </row>
    <row r="106" spans="1:15" x14ac:dyDescent="0.45">
      <c r="A106" t="s">
        <v>446</v>
      </c>
      <c r="B106" t="s">
        <v>214</v>
      </c>
      <c r="C106" t="s">
        <v>214</v>
      </c>
      <c r="D106" t="s">
        <v>176</v>
      </c>
      <c r="E106" t="s">
        <v>269</v>
      </c>
      <c r="F106" t="s">
        <v>202</v>
      </c>
      <c r="G106" t="s">
        <v>398</v>
      </c>
      <c r="H106" t="s">
        <v>425</v>
      </c>
      <c r="I106" t="s">
        <v>406</v>
      </c>
      <c r="J106" t="s">
        <v>389</v>
      </c>
      <c r="K106" t="s">
        <v>230</v>
      </c>
      <c r="L106" t="s">
        <v>193</v>
      </c>
      <c r="M106" t="s">
        <v>253</v>
      </c>
      <c r="N106" t="s">
        <v>447</v>
      </c>
      <c r="O106" t="s">
        <v>350</v>
      </c>
    </row>
    <row r="107" spans="1:15" x14ac:dyDescent="0.45">
      <c r="A107" t="s">
        <v>448</v>
      </c>
      <c r="B107" t="s">
        <v>214</v>
      </c>
      <c r="C107" t="s">
        <v>213</v>
      </c>
      <c r="D107" t="s">
        <v>176</v>
      </c>
      <c r="E107" t="s">
        <v>212</v>
      </c>
      <c r="F107" t="s">
        <v>269</v>
      </c>
      <c r="G107" t="s">
        <v>390</v>
      </c>
      <c r="H107" t="s">
        <v>449</v>
      </c>
      <c r="I107" t="s">
        <v>409</v>
      </c>
      <c r="J107" t="s">
        <v>397</v>
      </c>
      <c r="K107" t="s">
        <v>176</v>
      </c>
      <c r="L107" t="s">
        <v>231</v>
      </c>
      <c r="M107" t="s">
        <v>197</v>
      </c>
      <c r="N107" t="s">
        <v>445</v>
      </c>
      <c r="O107" t="s">
        <v>350</v>
      </c>
    </row>
    <row r="108" spans="1:15" x14ac:dyDescent="0.45">
      <c r="A108" t="s">
        <v>450</v>
      </c>
      <c r="B108" t="s">
        <v>214</v>
      </c>
      <c r="C108" t="s">
        <v>214</v>
      </c>
      <c r="D108" t="s">
        <v>176</v>
      </c>
      <c r="E108" t="s">
        <v>175</v>
      </c>
      <c r="F108" t="s">
        <v>202</v>
      </c>
      <c r="G108" t="s">
        <v>411</v>
      </c>
      <c r="H108" t="s">
        <v>410</v>
      </c>
      <c r="I108" t="s">
        <v>389</v>
      </c>
      <c r="J108" t="s">
        <v>352</v>
      </c>
      <c r="K108" t="s">
        <v>236</v>
      </c>
      <c r="L108" t="s">
        <v>274</v>
      </c>
      <c r="M108" t="s">
        <v>260</v>
      </c>
      <c r="N108" t="s">
        <v>234</v>
      </c>
      <c r="O108" t="s">
        <v>228</v>
      </c>
    </row>
    <row r="109" spans="1:15" x14ac:dyDescent="0.45">
      <c r="A109" t="s">
        <v>451</v>
      </c>
      <c r="B109" t="s">
        <v>214</v>
      </c>
      <c r="C109" t="s">
        <v>214</v>
      </c>
      <c r="D109" t="s">
        <v>176</v>
      </c>
      <c r="E109" t="s">
        <v>175</v>
      </c>
      <c r="F109" t="s">
        <v>202</v>
      </c>
      <c r="G109" t="s">
        <v>411</v>
      </c>
      <c r="H109" t="s">
        <v>410</v>
      </c>
      <c r="I109" t="s">
        <v>389</v>
      </c>
      <c r="J109" t="s">
        <v>352</v>
      </c>
      <c r="K109" t="s">
        <v>236</v>
      </c>
      <c r="L109" t="s">
        <v>258</v>
      </c>
      <c r="M109" t="s">
        <v>249</v>
      </c>
      <c r="N109" t="s">
        <v>350</v>
      </c>
      <c r="O109" t="s">
        <v>267</v>
      </c>
    </row>
    <row r="110" spans="1:15" x14ac:dyDescent="0.45">
      <c r="A110" t="s">
        <v>452</v>
      </c>
      <c r="B110" t="s">
        <v>214</v>
      </c>
      <c r="C110" t="s">
        <v>214</v>
      </c>
      <c r="D110" t="s">
        <v>176</v>
      </c>
      <c r="E110" t="s">
        <v>175</v>
      </c>
      <c r="F110" t="s">
        <v>202</v>
      </c>
      <c r="G110" t="s">
        <v>411</v>
      </c>
      <c r="H110" t="s">
        <v>410</v>
      </c>
      <c r="I110" t="s">
        <v>389</v>
      </c>
      <c r="J110" t="s">
        <v>352</v>
      </c>
      <c r="K110" t="s">
        <v>236</v>
      </c>
      <c r="L110" t="s">
        <v>274</v>
      </c>
      <c r="M110" t="s">
        <v>260</v>
      </c>
      <c r="N110" t="s">
        <v>350</v>
      </c>
      <c r="O110" t="s">
        <v>267</v>
      </c>
    </row>
    <row r="111" spans="1:15" x14ac:dyDescent="0.45">
      <c r="A111" t="s">
        <v>453</v>
      </c>
      <c r="B111" t="s">
        <v>214</v>
      </c>
      <c r="C111" t="s">
        <v>203</v>
      </c>
      <c r="D111" t="s">
        <v>189</v>
      </c>
      <c r="E111" t="s">
        <v>212</v>
      </c>
      <c r="F111" t="s">
        <v>175</v>
      </c>
      <c r="G111" t="s">
        <v>418</v>
      </c>
      <c r="H111" t="s">
        <v>414</v>
      </c>
      <c r="I111" t="s">
        <v>419</v>
      </c>
      <c r="J111" t="s">
        <v>386</v>
      </c>
      <c r="K111" t="s">
        <v>273</v>
      </c>
      <c r="L111" t="s">
        <v>223</v>
      </c>
      <c r="M111" t="s">
        <v>245</v>
      </c>
      <c r="N111" t="s">
        <v>376</v>
      </c>
      <c r="O111" t="s">
        <v>241</v>
      </c>
    </row>
    <row r="112" spans="1:15" x14ac:dyDescent="0.45">
      <c r="A112" t="s">
        <v>454</v>
      </c>
      <c r="B112" t="s">
        <v>214</v>
      </c>
      <c r="C112" t="s">
        <v>203</v>
      </c>
      <c r="D112" t="s">
        <v>189</v>
      </c>
      <c r="E112" t="s">
        <v>212</v>
      </c>
      <c r="F112" t="s">
        <v>175</v>
      </c>
      <c r="G112" t="s">
        <v>411</v>
      </c>
      <c r="H112" t="s">
        <v>406</v>
      </c>
      <c r="I112" t="s">
        <v>424</v>
      </c>
      <c r="J112" t="s">
        <v>380</v>
      </c>
      <c r="K112" t="s">
        <v>287</v>
      </c>
      <c r="L112" t="s">
        <v>223</v>
      </c>
      <c r="M112" t="s">
        <v>218</v>
      </c>
      <c r="N112" t="s">
        <v>447</v>
      </c>
      <c r="O112" t="s">
        <v>350</v>
      </c>
    </row>
    <row r="113" spans="1:15" x14ac:dyDescent="0.45">
      <c r="A113" t="s">
        <v>455</v>
      </c>
      <c r="B113" t="s">
        <v>230</v>
      </c>
      <c r="C113" t="s">
        <v>214</v>
      </c>
      <c r="D113" t="s">
        <v>213</v>
      </c>
      <c r="E113" t="s">
        <v>269</v>
      </c>
      <c r="F113" t="s">
        <v>202</v>
      </c>
      <c r="G113" t="s">
        <v>380</v>
      </c>
      <c r="H113" t="s">
        <v>419</v>
      </c>
      <c r="I113" t="s">
        <v>388</v>
      </c>
      <c r="J113" t="s">
        <v>247</v>
      </c>
      <c r="K113" t="s">
        <v>236</v>
      </c>
      <c r="L113" t="s">
        <v>274</v>
      </c>
      <c r="M113" t="s">
        <v>245</v>
      </c>
      <c r="N113" t="s">
        <v>381</v>
      </c>
      <c r="O113" t="s">
        <v>350</v>
      </c>
    </row>
    <row r="114" spans="1:15" x14ac:dyDescent="0.45">
      <c r="A114" t="s">
        <v>456</v>
      </c>
      <c r="B114" t="s">
        <v>221</v>
      </c>
      <c r="C114" t="s">
        <v>214</v>
      </c>
      <c r="D114" t="s">
        <v>202</v>
      </c>
      <c r="E114" t="s">
        <v>212</v>
      </c>
      <c r="F114" t="s">
        <v>247</v>
      </c>
      <c r="G114" t="s">
        <v>418</v>
      </c>
      <c r="H114" t="s">
        <v>406</v>
      </c>
      <c r="I114" t="s">
        <v>424</v>
      </c>
      <c r="J114" t="s">
        <v>252</v>
      </c>
      <c r="K114" t="s">
        <v>190</v>
      </c>
      <c r="L114" t="s">
        <v>372</v>
      </c>
      <c r="M114" t="s">
        <v>218</v>
      </c>
      <c r="N114" t="s">
        <v>445</v>
      </c>
      <c r="O114" t="s">
        <v>377</v>
      </c>
    </row>
    <row r="115" spans="1:15" x14ac:dyDescent="0.45">
      <c r="A115" t="s">
        <v>457</v>
      </c>
      <c r="B115" t="s">
        <v>221</v>
      </c>
      <c r="C115" t="s">
        <v>213</v>
      </c>
      <c r="D115" t="s">
        <v>202</v>
      </c>
      <c r="E115" t="s">
        <v>212</v>
      </c>
      <c r="F115" t="s">
        <v>212</v>
      </c>
      <c r="G115" t="s">
        <v>411</v>
      </c>
      <c r="H115" t="s">
        <v>419</v>
      </c>
      <c r="I115" t="s">
        <v>388</v>
      </c>
      <c r="J115" t="s">
        <v>247</v>
      </c>
      <c r="K115" t="s">
        <v>177</v>
      </c>
      <c r="L115" t="s">
        <v>332</v>
      </c>
      <c r="M115" t="s">
        <v>253</v>
      </c>
      <c r="N115" t="s">
        <v>458</v>
      </c>
      <c r="O115" t="s">
        <v>447</v>
      </c>
    </row>
    <row r="116" spans="1:15" x14ac:dyDescent="0.45">
      <c r="A116" t="s">
        <v>459</v>
      </c>
      <c r="B116" t="s">
        <v>282</v>
      </c>
      <c r="C116" t="s">
        <v>213</v>
      </c>
      <c r="D116" t="s">
        <v>214</v>
      </c>
      <c r="E116" t="s">
        <v>202</v>
      </c>
      <c r="F116" t="s">
        <v>212</v>
      </c>
      <c r="G116" t="s">
        <v>418</v>
      </c>
      <c r="H116" t="s">
        <v>424</v>
      </c>
      <c r="I116" t="s">
        <v>386</v>
      </c>
      <c r="J116" t="s">
        <v>212</v>
      </c>
      <c r="K116" t="s">
        <v>243</v>
      </c>
      <c r="L116" t="s">
        <v>372</v>
      </c>
      <c r="M116" t="s">
        <v>218</v>
      </c>
      <c r="N116" t="s">
        <v>392</v>
      </c>
      <c r="O116" t="s">
        <v>376</v>
      </c>
    </row>
    <row r="117" spans="1:15" x14ac:dyDescent="0.45">
      <c r="A117" t="s">
        <v>460</v>
      </c>
      <c r="B117" t="s">
        <v>273</v>
      </c>
      <c r="C117" t="s">
        <v>213</v>
      </c>
      <c r="D117" t="s">
        <v>214</v>
      </c>
      <c r="E117" t="s">
        <v>213</v>
      </c>
      <c r="F117" t="s">
        <v>212</v>
      </c>
      <c r="G117" t="s">
        <v>418</v>
      </c>
      <c r="H117" t="s">
        <v>424</v>
      </c>
      <c r="I117" t="s">
        <v>418</v>
      </c>
      <c r="J117" t="s">
        <v>269</v>
      </c>
      <c r="K117" t="s">
        <v>215</v>
      </c>
      <c r="L117" t="s">
        <v>274</v>
      </c>
      <c r="M117" t="s">
        <v>245</v>
      </c>
      <c r="N117" t="s">
        <v>445</v>
      </c>
      <c r="O117" t="s">
        <v>356</v>
      </c>
    </row>
    <row r="118" spans="1:15" x14ac:dyDescent="0.45">
      <c r="A118" t="s">
        <v>461</v>
      </c>
      <c r="B118" t="s">
        <v>189</v>
      </c>
      <c r="C118" t="s">
        <v>213</v>
      </c>
      <c r="D118" t="s">
        <v>202</v>
      </c>
      <c r="E118" t="s">
        <v>202</v>
      </c>
      <c r="F118" t="s">
        <v>212</v>
      </c>
      <c r="G118" t="s">
        <v>411</v>
      </c>
      <c r="H118" t="s">
        <v>424</v>
      </c>
      <c r="I118" t="s">
        <v>386</v>
      </c>
      <c r="J118" t="s">
        <v>247</v>
      </c>
      <c r="K118" t="s">
        <v>236</v>
      </c>
      <c r="L118" t="s">
        <v>258</v>
      </c>
      <c r="M118" t="s">
        <v>245</v>
      </c>
      <c r="N118" t="s">
        <v>376</v>
      </c>
      <c r="O118" t="s">
        <v>241</v>
      </c>
    </row>
    <row r="119" spans="1:15" x14ac:dyDescent="0.45">
      <c r="A119" t="s">
        <v>462</v>
      </c>
      <c r="B119" t="s">
        <v>189</v>
      </c>
      <c r="C119" t="s">
        <v>213</v>
      </c>
      <c r="D119" t="s">
        <v>175</v>
      </c>
      <c r="E119" t="s">
        <v>202</v>
      </c>
      <c r="F119" t="s">
        <v>252</v>
      </c>
      <c r="G119" t="s">
        <v>418</v>
      </c>
      <c r="H119" t="s">
        <v>424</v>
      </c>
      <c r="I119" t="s">
        <v>386</v>
      </c>
      <c r="J119" t="s">
        <v>269</v>
      </c>
      <c r="K119" t="s">
        <v>178</v>
      </c>
      <c r="L119" t="s">
        <v>275</v>
      </c>
      <c r="M119" t="s">
        <v>225</v>
      </c>
      <c r="N119" t="s">
        <v>241</v>
      </c>
      <c r="O119" t="s">
        <v>228</v>
      </c>
    </row>
    <row r="120" spans="1:15" x14ac:dyDescent="0.45">
      <c r="A120" t="s">
        <v>463</v>
      </c>
      <c r="B120" t="s">
        <v>189</v>
      </c>
      <c r="C120" t="s">
        <v>214</v>
      </c>
      <c r="D120" t="s">
        <v>269</v>
      </c>
      <c r="E120" t="s">
        <v>212</v>
      </c>
      <c r="F120" t="s">
        <v>247</v>
      </c>
      <c r="G120" t="s">
        <v>386</v>
      </c>
      <c r="H120" t="s">
        <v>397</v>
      </c>
      <c r="I120" t="s">
        <v>398</v>
      </c>
      <c r="J120" t="s">
        <v>212</v>
      </c>
      <c r="K120" t="s">
        <v>177</v>
      </c>
      <c r="L120" t="s">
        <v>332</v>
      </c>
      <c r="M120" t="s">
        <v>218</v>
      </c>
      <c r="N120" t="s">
        <v>445</v>
      </c>
      <c r="O120" t="s">
        <v>377</v>
      </c>
    </row>
    <row r="121" spans="1:15" x14ac:dyDescent="0.45">
      <c r="A121" t="s">
        <v>464</v>
      </c>
      <c r="B121" t="s">
        <v>189</v>
      </c>
      <c r="C121" t="s">
        <v>203</v>
      </c>
      <c r="D121" t="s">
        <v>175</v>
      </c>
      <c r="E121" t="s">
        <v>269</v>
      </c>
      <c r="F121" t="s">
        <v>247</v>
      </c>
      <c r="G121" t="s">
        <v>386</v>
      </c>
      <c r="H121" t="s">
        <v>403</v>
      </c>
      <c r="I121" t="s">
        <v>388</v>
      </c>
      <c r="J121" t="s">
        <v>411</v>
      </c>
      <c r="K121" t="s">
        <v>221</v>
      </c>
      <c r="L121" t="s">
        <v>205</v>
      </c>
      <c r="M121" t="s">
        <v>217</v>
      </c>
      <c r="N121" t="s">
        <v>391</v>
      </c>
      <c r="O121" t="s">
        <v>445</v>
      </c>
    </row>
    <row r="122" spans="1:15" x14ac:dyDescent="0.45">
      <c r="A122" t="s">
        <v>465</v>
      </c>
      <c r="B122" t="s">
        <v>214</v>
      </c>
      <c r="C122" t="s">
        <v>213</v>
      </c>
      <c r="D122" t="s">
        <v>247</v>
      </c>
      <c r="E122" t="s">
        <v>212</v>
      </c>
      <c r="F122" t="s">
        <v>252</v>
      </c>
      <c r="G122" t="s">
        <v>390</v>
      </c>
      <c r="H122" t="s">
        <v>406</v>
      </c>
      <c r="I122" t="s">
        <v>405</v>
      </c>
      <c r="J122" t="s">
        <v>388</v>
      </c>
      <c r="K122" t="s">
        <v>214</v>
      </c>
      <c r="L122" t="s">
        <v>222</v>
      </c>
      <c r="M122" t="s">
        <v>224</v>
      </c>
      <c r="N122" t="s">
        <v>443</v>
      </c>
      <c r="O122" t="s">
        <v>445</v>
      </c>
    </row>
    <row r="123" spans="1:15" x14ac:dyDescent="0.45">
      <c r="A123" t="s">
        <v>466</v>
      </c>
      <c r="B123" t="s">
        <v>214</v>
      </c>
      <c r="C123" t="s">
        <v>214</v>
      </c>
      <c r="D123" t="s">
        <v>247</v>
      </c>
      <c r="E123" t="s">
        <v>212</v>
      </c>
      <c r="F123" t="s">
        <v>380</v>
      </c>
      <c r="G123" t="s">
        <v>398</v>
      </c>
      <c r="H123" t="s">
        <v>405</v>
      </c>
      <c r="I123" t="s">
        <v>424</v>
      </c>
      <c r="J123" t="s">
        <v>389</v>
      </c>
      <c r="K123" t="s">
        <v>189</v>
      </c>
      <c r="L123" t="s">
        <v>194</v>
      </c>
      <c r="M123" t="s">
        <v>183</v>
      </c>
      <c r="N123" t="s">
        <v>399</v>
      </c>
      <c r="O123" t="s">
        <v>377</v>
      </c>
    </row>
    <row r="124" spans="1:15" x14ac:dyDescent="0.45">
      <c r="A124" t="s">
        <v>467</v>
      </c>
      <c r="B124" t="s">
        <v>213</v>
      </c>
      <c r="C124" t="s">
        <v>269</v>
      </c>
      <c r="D124" t="s">
        <v>352</v>
      </c>
      <c r="E124" t="s">
        <v>212</v>
      </c>
      <c r="F124" t="s">
        <v>380</v>
      </c>
      <c r="G124" t="s">
        <v>390</v>
      </c>
      <c r="H124" t="s">
        <v>424</v>
      </c>
      <c r="I124" t="s">
        <v>403</v>
      </c>
      <c r="J124" t="s">
        <v>398</v>
      </c>
      <c r="K124" t="s">
        <v>221</v>
      </c>
      <c r="L124" t="s">
        <v>231</v>
      </c>
      <c r="M124" t="s">
        <v>182</v>
      </c>
      <c r="N124" t="s">
        <v>392</v>
      </c>
      <c r="O124" t="s">
        <v>377</v>
      </c>
    </row>
    <row r="125" spans="1:15" x14ac:dyDescent="0.45">
      <c r="A125" t="s">
        <v>468</v>
      </c>
      <c r="B125" t="s">
        <v>202</v>
      </c>
      <c r="C125" t="s">
        <v>269</v>
      </c>
      <c r="D125" t="s">
        <v>380</v>
      </c>
      <c r="E125" t="s">
        <v>411</v>
      </c>
      <c r="F125" t="s">
        <v>411</v>
      </c>
      <c r="G125" t="s">
        <v>389</v>
      </c>
      <c r="H125" t="s">
        <v>419</v>
      </c>
      <c r="I125" t="s">
        <v>403</v>
      </c>
      <c r="J125" t="s">
        <v>398</v>
      </c>
      <c r="K125" t="s">
        <v>189</v>
      </c>
      <c r="L125" t="s">
        <v>194</v>
      </c>
      <c r="M125" t="s">
        <v>183</v>
      </c>
      <c r="N125" t="s">
        <v>441</v>
      </c>
      <c r="O125" t="s">
        <v>376</v>
      </c>
    </row>
    <row r="126" spans="1:15" x14ac:dyDescent="0.45">
      <c r="A126" t="s">
        <v>469</v>
      </c>
      <c r="B126" t="s">
        <v>202</v>
      </c>
      <c r="C126" t="s">
        <v>175</v>
      </c>
      <c r="D126" t="s">
        <v>380</v>
      </c>
      <c r="E126" t="s">
        <v>411</v>
      </c>
      <c r="F126" t="s">
        <v>386</v>
      </c>
      <c r="G126" t="s">
        <v>388</v>
      </c>
      <c r="H126" t="s">
        <v>414</v>
      </c>
      <c r="I126" t="s">
        <v>410</v>
      </c>
      <c r="J126" t="s">
        <v>388</v>
      </c>
      <c r="K126" t="s">
        <v>176</v>
      </c>
      <c r="L126" t="s">
        <v>194</v>
      </c>
      <c r="M126" t="s">
        <v>182</v>
      </c>
      <c r="N126" t="s">
        <v>445</v>
      </c>
      <c r="O126" t="s">
        <v>350</v>
      </c>
    </row>
    <row r="127" spans="1:15" x14ac:dyDescent="0.45">
      <c r="A127" t="s">
        <v>470</v>
      </c>
      <c r="B127" t="s">
        <v>202</v>
      </c>
      <c r="C127" t="s">
        <v>175</v>
      </c>
      <c r="D127" t="s">
        <v>386</v>
      </c>
      <c r="E127" t="s">
        <v>411</v>
      </c>
      <c r="F127" t="s">
        <v>386</v>
      </c>
      <c r="G127" t="s">
        <v>388</v>
      </c>
      <c r="H127" t="s">
        <v>414</v>
      </c>
      <c r="I127" t="s">
        <v>409</v>
      </c>
      <c r="J127" t="s">
        <v>424</v>
      </c>
      <c r="K127" t="s">
        <v>202</v>
      </c>
      <c r="L127" t="s">
        <v>204</v>
      </c>
      <c r="M127" t="s">
        <v>224</v>
      </c>
      <c r="N127" t="s">
        <v>441</v>
      </c>
      <c r="O127" t="s">
        <v>376</v>
      </c>
    </row>
    <row r="128" spans="1:15" x14ac:dyDescent="0.45">
      <c r="A128" t="s">
        <v>471</v>
      </c>
      <c r="B128" t="s">
        <v>202</v>
      </c>
      <c r="C128" t="s">
        <v>202</v>
      </c>
      <c r="D128" t="s">
        <v>418</v>
      </c>
      <c r="E128" t="s">
        <v>380</v>
      </c>
      <c r="F128" t="s">
        <v>390</v>
      </c>
      <c r="G128" t="s">
        <v>388</v>
      </c>
      <c r="H128" t="s">
        <v>414</v>
      </c>
      <c r="I128" t="s">
        <v>409</v>
      </c>
      <c r="J128" t="s">
        <v>403</v>
      </c>
      <c r="K128" t="s">
        <v>214</v>
      </c>
      <c r="L128" t="s">
        <v>192</v>
      </c>
      <c r="M128" t="s">
        <v>183</v>
      </c>
      <c r="N128" t="s">
        <v>447</v>
      </c>
      <c r="O128" t="s">
        <v>234</v>
      </c>
    </row>
    <row r="129" spans="1:15" x14ac:dyDescent="0.45">
      <c r="A129" t="s">
        <v>472</v>
      </c>
      <c r="B129" t="s">
        <v>213</v>
      </c>
      <c r="C129" t="s">
        <v>269</v>
      </c>
      <c r="D129" t="s">
        <v>352</v>
      </c>
      <c r="E129" t="s">
        <v>352</v>
      </c>
      <c r="F129" t="s">
        <v>418</v>
      </c>
      <c r="G129" t="s">
        <v>389</v>
      </c>
      <c r="H129" t="s">
        <v>409</v>
      </c>
      <c r="I129" t="s">
        <v>421</v>
      </c>
      <c r="J129" t="s">
        <v>424</v>
      </c>
      <c r="K129" t="s">
        <v>213</v>
      </c>
      <c r="L129" t="s">
        <v>222</v>
      </c>
      <c r="M129" t="s">
        <v>217</v>
      </c>
      <c r="N129" t="s">
        <v>445</v>
      </c>
      <c r="O129" t="s">
        <v>350</v>
      </c>
    </row>
    <row r="130" spans="1:15" x14ac:dyDescent="0.45">
      <c r="A130" t="s">
        <v>473</v>
      </c>
      <c r="B130" t="s">
        <v>214</v>
      </c>
      <c r="C130" t="s">
        <v>213</v>
      </c>
      <c r="D130" t="s">
        <v>247</v>
      </c>
      <c r="E130" t="s">
        <v>252</v>
      </c>
      <c r="F130" t="s">
        <v>411</v>
      </c>
      <c r="G130" t="s">
        <v>390</v>
      </c>
      <c r="H130" t="s">
        <v>409</v>
      </c>
      <c r="I130" t="s">
        <v>409</v>
      </c>
      <c r="J130" t="s">
        <v>397</v>
      </c>
      <c r="K130" t="s">
        <v>176</v>
      </c>
      <c r="L130" t="s">
        <v>194</v>
      </c>
      <c r="M130" t="s">
        <v>182</v>
      </c>
      <c r="N130" t="s">
        <v>381</v>
      </c>
      <c r="O130" t="s">
        <v>234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E58EE-95E5-4403-B326-AA1C2C1B0A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Data_R</vt:lpstr>
      <vt:lpstr>daily-treasury-rates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Miguel Cardoso Raposo</dc:creator>
  <cp:lastModifiedBy>Bernardo Miguel Cardoso Raposo</cp:lastModifiedBy>
  <dcterms:created xsi:type="dcterms:W3CDTF">2026-07-07T14:13:43Z</dcterms:created>
  <dcterms:modified xsi:type="dcterms:W3CDTF">2026-10-10T15:40:34Z</dcterms:modified>
</cp:coreProperties>
</file>